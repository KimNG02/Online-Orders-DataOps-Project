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im/Documents/Online Orders DataOps Project/"/>
    </mc:Choice>
  </mc:AlternateContent>
  <xr:revisionPtr revIDLastSave="0" documentId="8_{4B314119-5BFA-7741-ADA7-6A350EA9625B}" xr6:coauthVersionLast="47" xr6:coauthVersionMax="47" xr10:uidLastSave="{00000000-0000-0000-0000-000000000000}"/>
  <bookViews>
    <workbookView xWindow="17340" yWindow="760" windowWidth="12900" windowHeight="17440" activeTab="6" xr2:uid="{CE521C7D-C0BD-E447-BB23-BF6B0385031D}"/>
  </bookViews>
  <sheets>
    <sheet name="Revenue by Country" sheetId="2" r:id="rId1"/>
    <sheet name="Revenue by Product Category" sheetId="4" r:id="rId2"/>
    <sheet name="Payment Status" sheetId="5" r:id="rId3"/>
    <sheet name="Delivery Status" sheetId="6" r:id="rId4"/>
    <sheet name="Monthly Revenue" sheetId="7" r:id="rId5"/>
    <sheet name="Total Revenue" sheetId="8" r:id="rId6"/>
    <sheet name="Dashboard" sheetId="9" r:id="rId7"/>
    <sheet name="cleaned_orders_data" sheetId="1" r:id="rId8"/>
  </sheets>
  <calcPr calcId="0"/>
  <pivotCaches>
    <pivotCache cacheId="14" r:id="rId9"/>
  </pivotCaches>
</workbook>
</file>

<file path=xl/sharedStrings.xml><?xml version="1.0" encoding="utf-8"?>
<sst xmlns="http://schemas.openxmlformats.org/spreadsheetml/2006/main" count="662" uniqueCount="250">
  <si>
    <t>order_id</t>
  </si>
  <si>
    <t>customer_name</t>
  </si>
  <si>
    <t>country</t>
  </si>
  <si>
    <t>product_category</t>
  </si>
  <si>
    <t>order_date</t>
  </si>
  <si>
    <t>quantity</t>
  </si>
  <si>
    <t>unit_price_sek</t>
  </si>
  <si>
    <t>payment_status</t>
  </si>
  <si>
    <t>delivery_status</t>
  </si>
  <si>
    <t>total_order_value_sek</t>
  </si>
  <si>
    <t>O001</t>
  </si>
  <si>
    <t>Anna Lind</t>
  </si>
  <si>
    <t>Sweden</t>
  </si>
  <si>
    <t>Electronics</t>
  </si>
  <si>
    <t>Paid</t>
  </si>
  <si>
    <t>Delivered</t>
  </si>
  <si>
    <t>O002</t>
  </si>
  <si>
    <t>Erik Svensson</t>
  </si>
  <si>
    <t>O003</t>
  </si>
  <si>
    <t>Sofia Costa</t>
  </si>
  <si>
    <t>O004</t>
  </si>
  <si>
    <t>Leo Martin</t>
  </si>
  <si>
    <t>Finland</t>
  </si>
  <si>
    <t>Clothing</t>
  </si>
  <si>
    <t>Unpaid</t>
  </si>
  <si>
    <t>Shipped</t>
  </si>
  <si>
    <t>O005</t>
  </si>
  <si>
    <t>Emma Dubois</t>
  </si>
  <si>
    <t>O006</t>
  </si>
  <si>
    <t>Mikael Andersson</t>
  </si>
  <si>
    <t>Portugal</t>
  </si>
  <si>
    <t>O007</t>
  </si>
  <si>
    <t>Ines Ferreira</t>
  </si>
  <si>
    <t>Home &amp; Kitchen</t>
  </si>
  <si>
    <t>Pending</t>
  </si>
  <si>
    <t>Processing</t>
  </si>
  <si>
    <t>O008</t>
  </si>
  <si>
    <t>Johan Berg</t>
  </si>
  <si>
    <t>France</t>
  </si>
  <si>
    <t>O009</t>
  </si>
  <si>
    <t>Clara M√ºller</t>
  </si>
  <si>
    <t>O010</t>
  </si>
  <si>
    <t>Noah Wilson</t>
  </si>
  <si>
    <t>United States</t>
  </si>
  <si>
    <t>Beauty</t>
  </si>
  <si>
    <t>Failed</t>
  </si>
  <si>
    <t>Delayed</t>
  </si>
  <si>
    <t>O011</t>
  </si>
  <si>
    <t>Amina Hassan</t>
  </si>
  <si>
    <t>O012</t>
  </si>
  <si>
    <t>Lucas Moreau</t>
  </si>
  <si>
    <t>Sports</t>
  </si>
  <si>
    <t>In Transit</t>
  </si>
  <si>
    <t>O013</t>
  </si>
  <si>
    <t>Sara Nilsson</t>
  </si>
  <si>
    <t>Switzerland</t>
  </si>
  <si>
    <t>O014</t>
  </si>
  <si>
    <t>Daniel Virtanen</t>
  </si>
  <si>
    <t>Books</t>
  </si>
  <si>
    <t>O015</t>
  </si>
  <si>
    <t>Maria Rossi</t>
  </si>
  <si>
    <t>Returned</t>
  </si>
  <si>
    <t>O016</t>
  </si>
  <si>
    <t>Oliver Smith</t>
  </si>
  <si>
    <t>Toys</t>
  </si>
  <si>
    <t>O017</t>
  </si>
  <si>
    <t>Elin Karlsson</t>
  </si>
  <si>
    <t>Cancelled</t>
  </si>
  <si>
    <t>O018</t>
  </si>
  <si>
    <t>Hugo Laurent</t>
  </si>
  <si>
    <t>O019</t>
  </si>
  <si>
    <t>Nina Weber</t>
  </si>
  <si>
    <t>O020</t>
  </si>
  <si>
    <t>Tom Johnson</t>
  </si>
  <si>
    <t>O021</t>
  </si>
  <si>
    <t>Lina Andersson</t>
  </si>
  <si>
    <t>O022</t>
  </si>
  <si>
    <t>Axel Bergstr√∂m</t>
  </si>
  <si>
    <t>O023</t>
  </si>
  <si>
    <t>Maja Eriksson</t>
  </si>
  <si>
    <t>O024</t>
  </si>
  <si>
    <t>Oskar Nilsson</t>
  </si>
  <si>
    <t>O025</t>
  </si>
  <si>
    <t>Ella Karlsson</t>
  </si>
  <si>
    <t>O026</t>
  </si>
  <si>
    <t>William Johansson</t>
  </si>
  <si>
    <t>O027</t>
  </si>
  <si>
    <t>Alma Larsson</t>
  </si>
  <si>
    <t>O028</t>
  </si>
  <si>
    <t>Viktor Persson</t>
  </si>
  <si>
    <t>O029</t>
  </si>
  <si>
    <t>Nora Lindgren</t>
  </si>
  <si>
    <t>O030</t>
  </si>
  <si>
    <t>Elias Holm</t>
  </si>
  <si>
    <t>O031</t>
  </si>
  <si>
    <t>Freja Sandberg</t>
  </si>
  <si>
    <t>O032</t>
  </si>
  <si>
    <t>Isak Gustafsson</t>
  </si>
  <si>
    <t>O033</t>
  </si>
  <si>
    <t>Alice Lund</t>
  </si>
  <si>
    <t>O034</t>
  </si>
  <si>
    <t>Theo Andersson</t>
  </si>
  <si>
    <t>O035</t>
  </si>
  <si>
    <t>Ida Berg</t>
  </si>
  <si>
    <t>O036</t>
  </si>
  <si>
    <t>Filip Karlsson</t>
  </si>
  <si>
    <t>O037</t>
  </si>
  <si>
    <t>Julia Svensson</t>
  </si>
  <si>
    <t>O038</t>
  </si>
  <si>
    <t>Max Lindholm</t>
  </si>
  <si>
    <t>O039</t>
  </si>
  <si>
    <t>Ebba Persson</t>
  </si>
  <si>
    <t>O040</t>
  </si>
  <si>
    <t>Adam Nilsson</t>
  </si>
  <si>
    <t>O041</t>
  </si>
  <si>
    <t>Clara Bergman</t>
  </si>
  <si>
    <t>O042</t>
  </si>
  <si>
    <t>Hugo Lind</t>
  </si>
  <si>
    <t>O043</t>
  </si>
  <si>
    <t>Lea Johansson</t>
  </si>
  <si>
    <t>O044</t>
  </si>
  <si>
    <t>Noel Eriksson</t>
  </si>
  <si>
    <t>O045</t>
  </si>
  <si>
    <t>Signe Larsson</t>
  </si>
  <si>
    <t>O046</t>
  </si>
  <si>
    <t>Liam Svensson</t>
  </si>
  <si>
    <t>O047</t>
  </si>
  <si>
    <t>Mila Karlsson</t>
  </si>
  <si>
    <t>O048</t>
  </si>
  <si>
    <t>Elliot Berg</t>
  </si>
  <si>
    <t>O049</t>
  </si>
  <si>
    <t>Astrid Holm</t>
  </si>
  <si>
    <t>O050</t>
  </si>
  <si>
    <t>Melvin Persson</t>
  </si>
  <si>
    <t>O051</t>
  </si>
  <si>
    <t>Olivia Wilson</t>
  </si>
  <si>
    <t>O052</t>
  </si>
  <si>
    <t>James Brown</t>
  </si>
  <si>
    <t>O053</t>
  </si>
  <si>
    <t>Emily Davis</t>
  </si>
  <si>
    <t>O054</t>
  </si>
  <si>
    <t>Daniel Miller</t>
  </si>
  <si>
    <t>O055</t>
  </si>
  <si>
    <t>Sophia Taylor</t>
  </si>
  <si>
    <t>O056</t>
  </si>
  <si>
    <t>Benjamin Anderson</t>
  </si>
  <si>
    <t>O057</t>
  </si>
  <si>
    <t>Charlotte Thomas</t>
  </si>
  <si>
    <t>O058</t>
  </si>
  <si>
    <t>Henry Moore</t>
  </si>
  <si>
    <t>O059</t>
  </si>
  <si>
    <t>Amelia Martin</t>
  </si>
  <si>
    <t>O060</t>
  </si>
  <si>
    <t>Jack Thompson</t>
  </si>
  <si>
    <t>O061</t>
  </si>
  <si>
    <t>Isabella White</t>
  </si>
  <si>
    <t>O062</t>
  </si>
  <si>
    <t>Lucas Harris</t>
  </si>
  <si>
    <t>O063</t>
  </si>
  <si>
    <t>Mia Clark</t>
  </si>
  <si>
    <t>O064</t>
  </si>
  <si>
    <t>Alexander Lewis</t>
  </si>
  <si>
    <t>O065</t>
  </si>
  <si>
    <t>Grace Walker</t>
  </si>
  <si>
    <t>O066</t>
  </si>
  <si>
    <t>Leo Hall</t>
  </si>
  <si>
    <t>O067</t>
  </si>
  <si>
    <t>Chloe Young</t>
  </si>
  <si>
    <t>O068</t>
  </si>
  <si>
    <t>Oscar King</t>
  </si>
  <si>
    <t>O069</t>
  </si>
  <si>
    <t>Lily Wright</t>
  </si>
  <si>
    <t>O070</t>
  </si>
  <si>
    <t>Finn Scott</t>
  </si>
  <si>
    <t>O071</t>
  </si>
  <si>
    <t>Ava Green</t>
  </si>
  <si>
    <t>O072</t>
  </si>
  <si>
    <t>Arthur Baker</t>
  </si>
  <si>
    <t>O073</t>
  </si>
  <si>
    <t>Ella Adams</t>
  </si>
  <si>
    <t>O074</t>
  </si>
  <si>
    <t>Noah Nelson</t>
  </si>
  <si>
    <t>O075</t>
  </si>
  <si>
    <t>Emma Carter</t>
  </si>
  <si>
    <t>O076</t>
  </si>
  <si>
    <t>Liam Mitchell</t>
  </si>
  <si>
    <t>O077</t>
  </si>
  <si>
    <t>Sofia Roberts</t>
  </si>
  <si>
    <t>O078</t>
  </si>
  <si>
    <t>Oliver Turner</t>
  </si>
  <si>
    <t>O079</t>
  </si>
  <si>
    <t>Maya Phillips</t>
  </si>
  <si>
    <t>O080</t>
  </si>
  <si>
    <t>Ethan Campbell</t>
  </si>
  <si>
    <t>O081</t>
  </si>
  <si>
    <t>Zoe Parker</t>
  </si>
  <si>
    <t>O082</t>
  </si>
  <si>
    <t>Hannah Evans</t>
  </si>
  <si>
    <t>O083</t>
  </si>
  <si>
    <t>Samuel Edwards</t>
  </si>
  <si>
    <t>O084</t>
  </si>
  <si>
    <t>Victoria Collins</t>
  </si>
  <si>
    <t>O085</t>
  </si>
  <si>
    <t>David Stewart</t>
  </si>
  <si>
    <t>O086</t>
  </si>
  <si>
    <t>Laura Morris</t>
  </si>
  <si>
    <t>O087</t>
  </si>
  <si>
    <t>Gabriel Rogers</t>
  </si>
  <si>
    <t>O088</t>
  </si>
  <si>
    <t>Natalie Reed</t>
  </si>
  <si>
    <t>O089</t>
  </si>
  <si>
    <t>Thomas Cook</t>
  </si>
  <si>
    <t>O090</t>
  </si>
  <si>
    <t>Sophie Morgan</t>
  </si>
  <si>
    <t>O091</t>
  </si>
  <si>
    <t>Mateo Silva</t>
  </si>
  <si>
    <t>O092</t>
  </si>
  <si>
    <t>Ines Santos</t>
  </si>
  <si>
    <t>O093</t>
  </si>
  <si>
    <t>Jo√£o Ferreira</t>
  </si>
  <si>
    <t>O094</t>
  </si>
  <si>
    <t>Beatriz Costa</t>
  </si>
  <si>
    <t>O095</t>
  </si>
  <si>
    <t>Tiago Pereira</t>
  </si>
  <si>
    <t>O096</t>
  </si>
  <si>
    <t>Camila Almeida</t>
  </si>
  <si>
    <t>O097</t>
  </si>
  <si>
    <t>Rafael Oliveira</t>
  </si>
  <si>
    <t>O098</t>
  </si>
  <si>
    <t>Lucia Moretti</t>
  </si>
  <si>
    <t>O099</t>
  </si>
  <si>
    <t>Marco Bianchi</t>
  </si>
  <si>
    <t>O100</t>
  </si>
  <si>
    <t>Elena Rossi</t>
  </si>
  <si>
    <t>Row Labels</t>
  </si>
  <si>
    <t>Grand Total</t>
  </si>
  <si>
    <t>Sum of total_order_value_sek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</si>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</sst>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[online_orders_dashboard.xlsx]Revenue by Country!PivotTable1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7.407407407407407E-2"/>
          <c:w val="0.50230796150481194"/>
          <c:h val="0.69900262467191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Country'!$B$1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Country'!$A$2:$A$8</c:f>
              <c:strCache>
                <c:ptCount val="6"/>
                <c:pt idx="0">
                  <c:v>Finland</c:v>
                </c:pt>
                <c:pt idx="1">
                  <c:v>France</c:v>
                </c:pt>
                <c:pt idx="2">
                  <c:v>Portugal</c:v>
                </c:pt>
                <c:pt idx="3">
                  <c:v>Sweden</c:v>
                </c:pt>
                <c:pt idx="4">
                  <c:v>Switzerland</c:v>
                </c:pt>
                <c:pt idx="5">
                  <c:v>United States</c:v>
                </c:pt>
              </c:strCache>
            </c:strRef>
          </c:cat>
          <c:val>
            <c:numRef>
              <c:f>'Revenue by Country'!$B$2:$B$8</c:f>
              <c:numCache>
                <c:formatCode>General</c:formatCode>
                <c:ptCount val="6"/>
                <c:pt idx="0">
                  <c:v>151314</c:v>
                </c:pt>
                <c:pt idx="1">
                  <c:v>124241</c:v>
                </c:pt>
                <c:pt idx="2">
                  <c:v>151718</c:v>
                </c:pt>
                <c:pt idx="3">
                  <c:v>161746</c:v>
                </c:pt>
                <c:pt idx="4">
                  <c:v>178584</c:v>
                </c:pt>
                <c:pt idx="5">
                  <c:v>154686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C-A747-A68D-43399F14C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127360"/>
        <c:axId val="1592963584"/>
      </c:barChart>
      <c:catAx>
        <c:axId val="9261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92963584"/>
        <c:crosses val="autoZero"/>
        <c:auto val="1"/>
        <c:lblAlgn val="ctr"/>
        <c:lblOffset val="100"/>
        <c:noMultiLvlLbl val="0"/>
      </c:catAx>
      <c:valAx>
        <c:axId val="15929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261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[online_orders_dashboard.xlsx]Revenue by Product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Category'!$A$2:$A$9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'Revenue by Product Category'!$B$2:$B$9</c:f>
              <c:numCache>
                <c:formatCode>General</c:formatCode>
                <c:ptCount val="7"/>
                <c:pt idx="0">
                  <c:v>89724</c:v>
                </c:pt>
                <c:pt idx="1">
                  <c:v>146770</c:v>
                </c:pt>
                <c:pt idx="2">
                  <c:v>78017</c:v>
                </c:pt>
                <c:pt idx="3">
                  <c:v>118231</c:v>
                </c:pt>
                <c:pt idx="4">
                  <c:v>152113</c:v>
                </c:pt>
                <c:pt idx="5">
                  <c:v>185598</c:v>
                </c:pt>
                <c:pt idx="6">
                  <c:v>151836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0-CC45-B4E5-94D2688C7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721168"/>
        <c:axId val="567722880"/>
      </c:barChart>
      <c:catAx>
        <c:axId val="56772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7722880"/>
        <c:crosses val="autoZero"/>
        <c:auto val="1"/>
        <c:lblAlgn val="ctr"/>
        <c:lblOffset val="100"/>
        <c:noMultiLvlLbl val="0"/>
      </c:catAx>
      <c:valAx>
        <c:axId val="5677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77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[online_orders_dashboard.xlsx]Payment Status!PivotTable3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'Payment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'Payment Status'!$A$2:$A$6</c:f>
              <c:strCache>
                <c:ptCount val="4"/>
                <c:pt idx="0">
                  <c:v>Failed</c:v>
                </c:pt>
                <c:pt idx="1">
                  <c:v>Paid</c:v>
                </c:pt>
                <c:pt idx="2">
                  <c:v>Pending</c:v>
                </c:pt>
                <c:pt idx="3">
                  <c:v>Unpaid</c:v>
                </c:pt>
              </c:strCache>
            </c:strRef>
          </c:cat>
          <c:val>
            <c:numRef>
              <c:f>'Payment Status'!$B$2:$B$6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7-8E4D-B6A8-91960F485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[online_orders_dashboard.xlsx]Delivery Status!PivotTable4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Delivery</a:t>
            </a:r>
            <a:r>
              <a:rPr lang="en-GB" baseline="0"/>
              <a:t>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'Delivery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'Delivery Status'!$A$2:$A$9</c:f>
              <c:strCache>
                <c:ptCount val="7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  <c:pt idx="3">
                  <c:v>In Transit</c:v>
                </c:pt>
                <c:pt idx="4">
                  <c:v>Processing</c:v>
                </c:pt>
                <c:pt idx="5">
                  <c:v>Returned</c:v>
                </c:pt>
                <c:pt idx="6">
                  <c:v>Shipped</c:v>
                </c:pt>
              </c:strCache>
            </c:strRef>
          </c:cat>
          <c:val>
            <c:numRef>
              <c:f>'Delivery Status'!$B$2:$B$9</c:f>
              <c:numCache>
                <c:formatCode>General</c:formatCode>
                <c:ptCount val="7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  <c:pt idx="4">
                  <c:v>15</c:v>
                </c:pt>
                <c:pt idx="5">
                  <c:v>13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A-644B-B070-B6BABA263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[online_orders_dashboard.xlsx]Monthly Revenue!PivotTable5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19486111111111112"/>
          <c:w val="0.73816426071741037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Revenue'!$B$2:$B$14</c:f>
              <c:numCache>
                <c:formatCode>General</c:formatCode>
                <c:ptCount val="12"/>
                <c:pt idx="0">
                  <c:v>70028</c:v>
                </c:pt>
                <c:pt idx="1">
                  <c:v>41876</c:v>
                </c:pt>
                <c:pt idx="2">
                  <c:v>92819</c:v>
                </c:pt>
                <c:pt idx="3">
                  <c:v>87799</c:v>
                </c:pt>
                <c:pt idx="4">
                  <c:v>74574</c:v>
                </c:pt>
                <c:pt idx="5">
                  <c:v>89320</c:v>
                </c:pt>
                <c:pt idx="6">
                  <c:v>76991</c:v>
                </c:pt>
                <c:pt idx="7">
                  <c:v>80623</c:v>
                </c:pt>
                <c:pt idx="8">
                  <c:v>60849</c:v>
                </c:pt>
                <c:pt idx="9">
                  <c:v>84769</c:v>
                </c:pt>
                <c:pt idx="10">
                  <c:v>76314</c:v>
                </c:pt>
                <c:pt idx="11">
                  <c:v>86327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C-CA4F-BBF8-45A9B65F8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72719"/>
        <c:axId val="53274447"/>
      </c:lineChart>
      <c:catAx>
        <c:axId val="5327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274447"/>
        <c:crosses val="autoZero"/>
        <c:auto val="1"/>
        <c:lblAlgn val="ctr"/>
        <c:lblOffset val="100"/>
        <c:noMultiLvlLbl val="0"/>
      </c:catAx>
      <c:valAx>
        <c:axId val="532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27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[online_orders_dashboard.xlsx]Total Revenue!PivotTable6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Revenue'!$A$1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Revenue'!$A$2</c:f>
              <c:numCache>
                <c:formatCode>General</c:formatCode>
                <c:ptCount val="1"/>
                <c:pt idx="0">
                  <c:v>922289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E-5940-97C6-AFFAA2C87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605792"/>
        <c:axId val="1208615056"/>
      </c:barChart>
      <c:catAx>
        <c:axId val="12086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08615056"/>
        <c:crosses val="autoZero"/>
        <c:auto val="1"/>
        <c:lblAlgn val="ctr"/>
        <c:lblOffset val="100"/>
        <c:noMultiLvlLbl val="0"/>
      </c:catAx>
      <c:valAx>
        <c:axId val="12086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086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[online_orders_dashboard.xlsx]Total Revenue!PivotTable6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Revenue'!$A$1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Revenue'!$A$2</c:f>
              <c:numCache>
                <c:formatCode>General</c:formatCode>
                <c:ptCount val="1"/>
                <c:pt idx="0">
                  <c:v>922289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D-2340-8035-5703544B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605792"/>
        <c:axId val="1208615056"/>
      </c:barChart>
      <c:catAx>
        <c:axId val="12086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08615056"/>
        <c:crosses val="autoZero"/>
        <c:auto val="1"/>
        <c:lblAlgn val="ctr"/>
        <c:lblOffset val="100"/>
        <c:noMultiLvlLbl val="0"/>
      </c:catAx>
      <c:valAx>
        <c:axId val="12086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086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[online_orders_dashboard.xlsx]Monthly Revenue!PivotTable5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19486111111111112"/>
          <c:w val="0.73816426071741037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Revenue'!$B$2:$B$14</c:f>
              <c:numCache>
                <c:formatCode>General</c:formatCode>
                <c:ptCount val="12"/>
                <c:pt idx="0">
                  <c:v>70028</c:v>
                </c:pt>
                <c:pt idx="1">
                  <c:v>41876</c:v>
                </c:pt>
                <c:pt idx="2">
                  <c:v>92819</c:v>
                </c:pt>
                <c:pt idx="3">
                  <c:v>87799</c:v>
                </c:pt>
                <c:pt idx="4">
                  <c:v>74574</c:v>
                </c:pt>
                <c:pt idx="5">
                  <c:v>89320</c:v>
                </c:pt>
                <c:pt idx="6">
                  <c:v>76991</c:v>
                </c:pt>
                <c:pt idx="7">
                  <c:v>80623</c:v>
                </c:pt>
                <c:pt idx="8">
                  <c:v>60849</c:v>
                </c:pt>
                <c:pt idx="9">
                  <c:v>84769</c:v>
                </c:pt>
                <c:pt idx="10">
                  <c:v>76314</c:v>
                </c:pt>
                <c:pt idx="11">
                  <c:v>86327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C-6C44-AE68-FB06ED1BF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72719"/>
        <c:axId val="53274447"/>
      </c:lineChart>
      <c:catAx>
        <c:axId val="5327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274447"/>
        <c:crosses val="autoZero"/>
        <c:auto val="1"/>
        <c:lblAlgn val="ctr"/>
        <c:lblOffset val="100"/>
        <c:noMultiLvlLbl val="0"/>
      </c:catAx>
      <c:valAx>
        <c:axId val="532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327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[online_orders_dashboard.xlsx]Delivery Status!PivotTable4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Delivery</a:t>
            </a:r>
            <a:r>
              <a:rPr lang="en-GB" baseline="0"/>
              <a:t>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'Delivery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216-FE48-9361-DAA14E797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216-FE48-9361-DAA14E797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216-FE48-9361-DAA14E7974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216-FE48-9361-DAA14E7974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216-FE48-9361-DAA14E7974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216-FE48-9361-DAA14E7974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6216-FE48-9361-DAA14E7974B0}"/>
              </c:ext>
            </c:extLst>
          </c:dPt>
          <c:cat>
            <c:strRef>
              <c:f>'Delivery Status'!$A$2:$A$9</c:f>
              <c:strCache>
                <c:ptCount val="7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  <c:pt idx="3">
                  <c:v>In Transit</c:v>
                </c:pt>
                <c:pt idx="4">
                  <c:v>Processing</c:v>
                </c:pt>
                <c:pt idx="5">
                  <c:v>Returned</c:v>
                </c:pt>
                <c:pt idx="6">
                  <c:v>Shipped</c:v>
                </c:pt>
              </c:strCache>
            </c:strRef>
          </c:cat>
          <c:val>
            <c:numRef>
              <c:f>'Delivery Status'!$B$2:$B$9</c:f>
              <c:numCache>
                <c:formatCode>General</c:formatCode>
                <c:ptCount val="7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  <c:pt idx="4">
                  <c:v>15</c:v>
                </c:pt>
                <c:pt idx="5">
                  <c:v>13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16-FE48-9361-DAA14E79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[online_orders_dashboard.xlsx]Payment Status!PivotTable3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67-C649-8D65-000AEA76E1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67-C649-8D65-000AEA76E1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67-C649-8D65-000AEA76E1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67-C649-8D65-000AEA76E154}"/>
              </c:ext>
            </c:extLst>
          </c:dPt>
          <c:cat>
            <c:strRef>
              <c:f>'Payment Status'!$A$2:$A$6</c:f>
              <c:strCache>
                <c:ptCount val="4"/>
                <c:pt idx="0">
                  <c:v>Failed</c:v>
                </c:pt>
                <c:pt idx="1">
                  <c:v>Paid</c:v>
                </c:pt>
                <c:pt idx="2">
                  <c:v>Pending</c:v>
                </c:pt>
                <c:pt idx="3">
                  <c:v>Unpaid</c:v>
                </c:pt>
              </c:strCache>
            </c:strRef>
          </c:cat>
          <c:val>
            <c:numRef>
              <c:f>'Payment Status'!$B$2:$B$6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67-C649-8D65-000AEA76E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[online_orders_dashboard.xlsx]Revenue by Product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Category'!$A$2:$A$9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'Revenue by Product Category'!$B$2:$B$9</c:f>
              <c:numCache>
                <c:formatCode>General</c:formatCode>
                <c:ptCount val="7"/>
                <c:pt idx="0">
                  <c:v>89724</c:v>
                </c:pt>
                <c:pt idx="1">
                  <c:v>146770</c:v>
                </c:pt>
                <c:pt idx="2">
                  <c:v>78017</c:v>
                </c:pt>
                <c:pt idx="3">
                  <c:v>118231</c:v>
                </c:pt>
                <c:pt idx="4">
                  <c:v>152113</c:v>
                </c:pt>
                <c:pt idx="5">
                  <c:v>185598</c:v>
                </c:pt>
                <c:pt idx="6">
                  <c:v>151836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F24F-BEC0-DC8D7DBF2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721168"/>
        <c:axId val="567722880"/>
      </c:barChart>
      <c:catAx>
        <c:axId val="56772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7722880"/>
        <c:crosses val="autoZero"/>
        <c:auto val="1"/>
        <c:lblAlgn val="ctr"/>
        <c:lblOffset val="100"/>
        <c:noMultiLvlLbl val="0"/>
      </c:catAx>
      <c:valAx>
        <c:axId val="5677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677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[online_orders_dashboard.xlsx]Revenue by Country!PivotTable1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7.407407407407407E-2"/>
          <c:w val="0.50230796150481194"/>
          <c:h val="0.69900262467191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Country'!$B$1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Country'!$A$2:$A$8</c:f>
              <c:strCache>
                <c:ptCount val="6"/>
                <c:pt idx="0">
                  <c:v>Finland</c:v>
                </c:pt>
                <c:pt idx="1">
                  <c:v>France</c:v>
                </c:pt>
                <c:pt idx="2">
                  <c:v>Portugal</c:v>
                </c:pt>
                <c:pt idx="3">
                  <c:v>Sweden</c:v>
                </c:pt>
                <c:pt idx="4">
                  <c:v>Switzerland</c:v>
                </c:pt>
                <c:pt idx="5">
                  <c:v>United States</c:v>
                </c:pt>
              </c:strCache>
            </c:strRef>
          </c:cat>
          <c:val>
            <c:numRef>
              <c:f>'Revenue by Country'!$B$2:$B$8</c:f>
              <c:numCache>
                <c:formatCode>General</c:formatCode>
                <c:ptCount val="6"/>
                <c:pt idx="0">
                  <c:v>151314</c:v>
                </c:pt>
                <c:pt idx="1">
                  <c:v>124241</c:v>
                </c:pt>
                <c:pt idx="2">
                  <c:v>151718</c:v>
                </c:pt>
                <c:pt idx="3">
                  <c:v>161746</c:v>
                </c:pt>
                <c:pt idx="4">
                  <c:v>178584</c:v>
                </c:pt>
                <c:pt idx="5">
                  <c:v>154686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B-8D40-AAAD-8F26F84C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127360"/>
        <c:axId val="1592963584"/>
      </c:barChart>
      <c:catAx>
        <c:axId val="9261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92963584"/>
        <c:crosses val="autoZero"/>
        <c:auto val="1"/>
        <c:lblAlgn val="ctr"/>
        <c:lblOffset val="100"/>
        <c:noMultiLvlLbl val="0"/>
      </c:catAx>
      <c:valAx>
        <c:axId val="15929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261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114300</xdr:rowOff>
    </xdr:from>
    <xdr:to>
      <xdr:col>2</xdr:col>
      <xdr:colOff>1790700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22E35-F288-38B6-E562-92E4C0DF2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12</xdr:row>
      <xdr:rowOff>12700</xdr:rowOff>
    </xdr:from>
    <xdr:to>
      <xdr:col>4</xdr:col>
      <xdr:colOff>469900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480BC-7857-144F-5381-73BD4AD15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736600</xdr:colOff>
      <xdr:row>9</xdr:row>
      <xdr:rowOff>101600</xdr:rowOff>
    </xdr:from>
    <xdr:to>
      <xdr:col>5</xdr:col>
      <xdr:colOff>685800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7820C-FC57-038E-DA7E-904C06BAA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12</xdr:row>
      <xdr:rowOff>50800</xdr:rowOff>
    </xdr:from>
    <xdr:to>
      <xdr:col>6</xdr:col>
      <xdr:colOff>482600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695CD-5461-53C9-1C22-D35B7D5E4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977900</xdr:colOff>
      <xdr:row>16</xdr:row>
      <xdr:rowOff>12700</xdr:rowOff>
    </xdr:from>
    <xdr:to>
      <xdr:col>6</xdr:col>
      <xdr:colOff>304800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A309B-BDC0-6E5A-E21C-BFA929CC3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7</xdr:row>
      <xdr:rowOff>76200</xdr:rowOff>
    </xdr:from>
    <xdr:to>
      <xdr:col>5</xdr:col>
      <xdr:colOff>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F06C1-3DB0-0A4D-6841-5A5D3A574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5</xdr:col>
      <xdr:colOff>444500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B1B95-4131-0346-B96D-1E889A21C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500174</xdr:colOff>
      <xdr:row>0</xdr:row>
      <xdr:rowOff>25656</xdr:rowOff>
    </xdr:from>
    <xdr:to>
      <xdr:col>11</xdr:col>
      <xdr:colOff>123665</xdr:colOff>
      <xdr:row>13</xdr:row>
      <xdr:rowOff>129308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642CD7-689E-E644-B5AE-AAECCD260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64141</xdr:rowOff>
    </xdr:from>
    <xdr:to>
      <xdr:col>5</xdr:col>
      <xdr:colOff>466949</xdr:colOff>
      <xdr:row>40</xdr:row>
      <xdr:rowOff>139058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8A9F3-729F-F748-B829-756D32C5B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487475</xdr:colOff>
      <xdr:row>27</xdr:row>
      <xdr:rowOff>25656</xdr:rowOff>
    </xdr:from>
    <xdr:to>
      <xdr:col>11</xdr:col>
      <xdr:colOff>132957</xdr:colOff>
      <xdr:row>40</xdr:row>
      <xdr:rowOff>139016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E9B1E2-0B23-3B44-B721-35B3FC2AF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153940</xdr:rowOff>
    </xdr:from>
    <xdr:to>
      <xdr:col>5</xdr:col>
      <xdr:colOff>466949</xdr:colOff>
      <xdr:row>27</xdr:row>
      <xdr:rowOff>23605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25D50C-EDC9-AE48-8349-F3789E7FD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513131</xdr:colOff>
      <xdr:row>13</xdr:row>
      <xdr:rowOff>166768</xdr:rowOff>
    </xdr:from>
    <xdr:to>
      <xdr:col>11</xdr:col>
      <xdr:colOff>159071</xdr:colOff>
      <xdr:row>27</xdr:row>
      <xdr:rowOff>36433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C33D20-13C4-CB44-8020-B641883FD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 Nguyen" refreshedDate="46146.636805787035" createdVersion="8" refreshedVersion="8" minRefreshableVersion="3" recordCount="100" xr:uid="{32E0B560-FC99-F44A-831F-FA4013E86DA1}">
  <cacheSource type="worksheet">
    <worksheetSource ref="A1:J101" sheet="cleaned_orders_data"/>
  </cacheSource>
  <cacheFields count="13">
    <cacheField name="order_id" numFmtId="0">
      <sharedItems count="100">
        <s v="O001"/>
        <s v="O002"/>
        <s v="O003"/>
        <s v="O004"/>
        <s v="O005"/>
        <s v="O006"/>
        <s v="O007"/>
        <s v="O008"/>
        <s v="O009"/>
        <s v="O010"/>
        <s v="O011"/>
        <s v="O012"/>
        <s v="O013"/>
        <s v="O014"/>
        <s v="O015"/>
        <s v="O016"/>
        <s v="O017"/>
        <s v="O018"/>
        <s v="O019"/>
        <s v="O020"/>
        <s v="O021"/>
        <s v="O022"/>
        <s v="O023"/>
        <s v="O024"/>
        <s v="O025"/>
        <s v="O026"/>
        <s v="O027"/>
        <s v="O028"/>
        <s v="O029"/>
        <s v="O030"/>
        <s v="O031"/>
        <s v="O032"/>
        <s v="O033"/>
        <s v="O034"/>
        <s v="O035"/>
        <s v="O036"/>
        <s v="O037"/>
        <s v="O038"/>
        <s v="O039"/>
        <s v="O040"/>
        <s v="O041"/>
        <s v="O042"/>
        <s v="O043"/>
        <s v="O044"/>
        <s v="O045"/>
        <s v="O046"/>
        <s v="O047"/>
        <s v="O048"/>
        <s v="O049"/>
        <s v="O050"/>
        <s v="O051"/>
        <s v="O052"/>
        <s v="O053"/>
        <s v="O054"/>
        <s v="O055"/>
        <s v="O056"/>
        <s v="O057"/>
        <s v="O058"/>
        <s v="O059"/>
        <s v="O060"/>
        <s v="O061"/>
        <s v="O062"/>
        <s v="O063"/>
        <s v="O064"/>
        <s v="O065"/>
        <s v="O066"/>
        <s v="O067"/>
        <s v="O068"/>
        <s v="O069"/>
        <s v="O070"/>
        <s v="O071"/>
        <s v="O072"/>
        <s v="O073"/>
        <s v="O074"/>
        <s v="O075"/>
        <s v="O076"/>
        <s v="O077"/>
        <s v="O078"/>
        <s v="O079"/>
        <s v="O080"/>
        <s v="O081"/>
        <s v="O082"/>
        <s v="O083"/>
        <s v="O084"/>
        <s v="O085"/>
        <s v="O086"/>
        <s v="O087"/>
        <s v="O088"/>
        <s v="O089"/>
        <s v="O090"/>
        <s v="O091"/>
        <s v="O092"/>
        <s v="O093"/>
        <s v="O094"/>
        <s v="O095"/>
        <s v="O096"/>
        <s v="O097"/>
        <s v="O098"/>
        <s v="O099"/>
        <s v="O100"/>
      </sharedItems>
    </cacheField>
    <cacheField name="customer_name" numFmtId="0">
      <sharedItems/>
    </cacheField>
    <cacheField name="country" numFmtId="0">
      <sharedItems count="6">
        <s v="Sweden"/>
        <s v="Finland"/>
        <s v="Portugal"/>
        <s v="France"/>
        <s v="United States"/>
        <s v="Switzerland"/>
      </sharedItems>
    </cacheField>
    <cacheField name="product_category" numFmtId="0">
      <sharedItems count="7">
        <s v="Electronics"/>
        <s v="Clothing"/>
        <s v="Home &amp; Kitchen"/>
        <s v="Beauty"/>
        <s v="Sports"/>
        <s v="Books"/>
        <s v="Toys"/>
      </sharedItems>
    </cacheField>
    <cacheField name="order_date" numFmtId="14">
      <sharedItems containsSemiMixedTypes="0" containsNonDate="0" containsDate="1" containsString="0" minDate="2023-01-10T00:00:00" maxDate="2025-12-19T00:00:00" count="100">
        <d v="2024-01-15T00:00:00"/>
        <d v="2024-02-15T00:00:00"/>
        <d v="2023-03-10T00:00:00"/>
        <d v="2024-04-20T00:00:00"/>
        <d v="2025-05-05T00:00:00"/>
        <d v="2023-06-18T00:00:00"/>
        <d v="2024-07-22T00:00:00"/>
        <d v="2025-08-30T00:00:00"/>
        <d v="2023-09-12T00:00:00"/>
        <d v="2024-10-01T00:00:00"/>
        <d v="2023-01-10T00:00:00"/>
        <d v="2023-01-25T00:00:00"/>
        <d v="2023-02-14T00:00:00"/>
        <d v="2023-02-28T00:00:00"/>
        <d v="2023-03-12T00:00:00"/>
        <d v="2023-03-27T00:00:00"/>
        <d v="2023-04-09T00:00:00"/>
        <d v="2023-04-24T00:00:00"/>
        <d v="2023-05-11T00:00:00"/>
        <d v="2023-05-29T00:00:00"/>
        <d v="2023-06-13T00:00:00"/>
        <d v="2023-06-30T00:00:00"/>
        <d v="2023-07-15T00:00:00"/>
        <d v="2023-07-31T00:00:00"/>
        <d v="2023-08-16T00:00:00"/>
        <d v="2023-08-28T00:00:00"/>
        <d v="2023-09-09T00:00:00"/>
        <d v="2023-09-26T00:00:00"/>
        <d v="2023-10-13T00:00:00"/>
        <d v="2023-10-30T00:00:00"/>
        <d v="2023-11-15T00:00:00"/>
        <d v="2023-11-29T00:00:00"/>
        <d v="2023-12-08T00:00:00"/>
        <d v="2023-12-22T00:00:00"/>
        <d v="2024-01-08T00:00:00"/>
        <d v="2024-01-24T00:00:00"/>
        <d v="2024-02-09T00:00:00"/>
        <d v="2024-02-21T00:00:00"/>
        <d v="2024-03-06T00:00:00"/>
        <d v="2024-03-19T00:00:00"/>
        <d v="2024-04-03T00:00:00"/>
        <d v="2024-04-17T00:00:00"/>
        <d v="2024-05-02T00:00:00"/>
        <d v="2024-05-16T00:00:00"/>
        <d v="2024-06-01T00:00:00"/>
        <d v="2024-06-18T00:00:00"/>
        <d v="2024-07-04T00:00:00"/>
        <d v="2024-07-19T00:00:00"/>
        <d v="2024-08-05T00:00:00"/>
        <d v="2024-08-21T00:00:00"/>
        <d v="2024-09-03T00:00:00"/>
        <d v="2024-09-18T00:00:00"/>
        <d v="2024-10-04T00:00:00"/>
        <d v="2024-10-20T00:00:00"/>
        <d v="2024-11-05T00:00:00"/>
        <d v="2024-11-22T00:00:00"/>
        <d v="2024-12-06T00:00:00"/>
        <d v="2024-12-19T00:00:00"/>
        <d v="2025-01-07T00:00:00"/>
        <d v="2025-01-23T00:00:00"/>
        <d v="2025-02-08T00:00:00"/>
        <d v="2025-02-24T00:00:00"/>
        <d v="2025-03-11T00:00:00"/>
        <d v="2025-03-27T00:00:00"/>
        <d v="2025-04-10T00:00:00"/>
        <d v="2025-04-25T00:00:00"/>
        <d v="2025-05-09T00:00:00"/>
        <d v="2025-05-26T00:00:00"/>
        <d v="2025-06-12T00:00:00"/>
        <d v="2025-06-30T00:00:00"/>
        <d v="2025-07-14T00:00:00"/>
        <d v="2025-07-29T00:00:00"/>
        <d v="2025-08-13T00:00:00"/>
        <d v="2025-08-28T00:00:00"/>
        <d v="2025-09-10T00:00:00"/>
        <d v="2025-09-26T00:00:00"/>
        <d v="2025-10-08T00:00:00"/>
        <d v="2025-10-23T00:00:00"/>
        <d v="2025-11-06T00:00:00"/>
        <d v="2025-11-21T00:00:00"/>
        <d v="2025-12-05T00:00:00"/>
        <d v="2025-12-18T00:00:00"/>
        <d v="2023-01-18T00:00:00"/>
        <d v="2023-02-05T00:00:00"/>
        <d v="2023-03-21T00:00:00"/>
        <d v="2023-04-14T00:00:00"/>
        <d v="2023-05-24T00:00:00"/>
        <d v="2023-06-07T00:00:00"/>
        <d v="2023-07-11T00:00:00"/>
        <d v="2023-08-02T00:00:00"/>
        <d v="2023-09-19T00:00:00"/>
        <d v="2023-10-07T00:00:00"/>
        <d v="2023-11-03T00:00:00"/>
        <d v="2023-12-13T00:00:00"/>
        <d v="2024-01-31T00:00:00"/>
        <d v="2024-02-27T00:00:00"/>
        <d v="2024-03-25T00:00:00"/>
        <d v="2024-04-29T00:00:00"/>
        <d v="2024-05-31T00:00:00"/>
        <d v="2024-06-24T00:00:00"/>
      </sharedItems>
      <fieldGroup par="12"/>
    </cacheField>
    <cacheField name="quantity" numFmtId="0">
      <sharedItems containsSemiMixedTypes="0" containsString="0" containsNumber="1" containsInteger="1" minValue="1" maxValue="10"/>
    </cacheField>
    <cacheField name="unit_price_sek" numFmtId="0">
      <sharedItems containsSemiMixedTypes="0" containsString="0" containsNumber="1" containsInteger="1" minValue="59" maxValue="7149"/>
    </cacheField>
    <cacheField name="payment_status" numFmtId="0">
      <sharedItems count="4">
        <s v="Paid"/>
        <s v="Unpaid"/>
        <s v="Pending"/>
        <s v="Failed"/>
      </sharedItems>
    </cacheField>
    <cacheField name="delivery_status" numFmtId="0">
      <sharedItems count="7">
        <s v="Delivered"/>
        <s v="Shipped"/>
        <s v="Processing"/>
        <s v="Delayed"/>
        <s v="In Transit"/>
        <s v="Returned"/>
        <s v="Cancelled"/>
      </sharedItems>
    </cacheField>
    <cacheField name="total_order_value_sek" numFmtId="0">
      <sharedItems containsSemiMixedTypes="0" containsString="0" containsNumber="1" containsInteger="1" minValue="118" maxValue="39294"/>
    </cacheField>
    <cacheField name="Months (order_date)" numFmtId="0" databaseField="0">
      <fieldGroup base="4">
        <rangePr groupBy="months" startDate="2023-01-10T00:00:00" endDate="2025-12-19T00:00:00"/>
        <groupItems count="14">
          <s v="&lt;2023-01-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2-19"/>
        </groupItems>
      </fieldGroup>
    </cacheField>
    <cacheField name="Quarters (order_date)" numFmtId="0" databaseField="0">
      <fieldGroup base="4">
        <rangePr groupBy="quarters" startDate="2023-01-10T00:00:00" endDate="2025-12-19T00:00:00"/>
        <groupItems count="6">
          <s v="&lt;2023-01-10"/>
          <s v="Qtr1"/>
          <s v="Qtr2"/>
          <s v="Qtr3"/>
          <s v="Qtr4"/>
          <s v="&gt;2025-12-19"/>
        </groupItems>
      </fieldGroup>
    </cacheField>
    <cacheField name="Years (order_date)" numFmtId="0" databaseField="0">
      <fieldGroup base="4">
        <rangePr groupBy="years" startDate="2023-01-10T00:00:00" endDate="2025-12-19T00:00:00"/>
        <groupItems count="5">
          <s v="&lt;2023-01-10"/>
          <s v="2023"/>
          <s v="2024"/>
          <s v="2025"/>
          <s v="&gt;2025-12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nna Lind"/>
    <x v="0"/>
    <x v="0"/>
    <x v="0"/>
    <n v="2"/>
    <n v="199"/>
    <x v="0"/>
    <x v="0"/>
    <n v="398"/>
  </r>
  <r>
    <x v="1"/>
    <s v="Erik Svensson"/>
    <x v="0"/>
    <x v="0"/>
    <x v="1"/>
    <n v="1"/>
    <n v="499"/>
    <x v="0"/>
    <x v="0"/>
    <n v="499"/>
  </r>
  <r>
    <x v="2"/>
    <s v="Sofia Costa"/>
    <x v="0"/>
    <x v="0"/>
    <x v="2"/>
    <n v="1"/>
    <n v="1299"/>
    <x v="0"/>
    <x v="0"/>
    <n v="1299"/>
  </r>
  <r>
    <x v="3"/>
    <s v="Leo Martin"/>
    <x v="1"/>
    <x v="1"/>
    <x v="3"/>
    <n v="3"/>
    <n v="99"/>
    <x v="1"/>
    <x v="1"/>
    <n v="297"/>
  </r>
  <r>
    <x v="4"/>
    <s v="Emma Dubois"/>
    <x v="1"/>
    <x v="1"/>
    <x v="4"/>
    <n v="5"/>
    <n v="249"/>
    <x v="1"/>
    <x v="1"/>
    <n v="1245"/>
  </r>
  <r>
    <x v="5"/>
    <s v="Mikael Andersson"/>
    <x v="2"/>
    <x v="1"/>
    <x v="5"/>
    <n v="2"/>
    <n v="799"/>
    <x v="1"/>
    <x v="1"/>
    <n v="1598"/>
  </r>
  <r>
    <x v="6"/>
    <s v="Ines Ferreira"/>
    <x v="2"/>
    <x v="2"/>
    <x v="6"/>
    <n v="4"/>
    <n v="129"/>
    <x v="2"/>
    <x v="2"/>
    <n v="516"/>
  </r>
  <r>
    <x v="7"/>
    <s v="Johan Berg"/>
    <x v="3"/>
    <x v="2"/>
    <x v="7"/>
    <n v="10"/>
    <n v="2499"/>
    <x v="2"/>
    <x v="2"/>
    <n v="24990"/>
  </r>
  <r>
    <x v="8"/>
    <s v="Clara M√ºller"/>
    <x v="3"/>
    <x v="2"/>
    <x v="8"/>
    <n v="1"/>
    <n v="349"/>
    <x v="2"/>
    <x v="2"/>
    <n v="349"/>
  </r>
  <r>
    <x v="9"/>
    <s v="Noah Wilson"/>
    <x v="4"/>
    <x v="3"/>
    <x v="9"/>
    <n v="6"/>
    <n v="89"/>
    <x v="3"/>
    <x v="3"/>
    <n v="534"/>
  </r>
  <r>
    <x v="10"/>
    <s v="Amina Hassan"/>
    <x v="4"/>
    <x v="3"/>
    <x v="10"/>
    <n v="2"/>
    <n v="199"/>
    <x v="3"/>
    <x v="3"/>
    <n v="398"/>
  </r>
  <r>
    <x v="11"/>
    <s v="Lucas Moreau"/>
    <x v="4"/>
    <x v="4"/>
    <x v="11"/>
    <n v="1"/>
    <n v="299"/>
    <x v="3"/>
    <x v="4"/>
    <n v="299"/>
  </r>
  <r>
    <x v="12"/>
    <s v="Sara Nilsson"/>
    <x v="5"/>
    <x v="4"/>
    <x v="12"/>
    <n v="3"/>
    <n v="499"/>
    <x v="0"/>
    <x v="4"/>
    <n v="1497"/>
  </r>
  <r>
    <x v="13"/>
    <s v="Daniel Virtanen"/>
    <x v="5"/>
    <x v="5"/>
    <x v="13"/>
    <n v="4"/>
    <n v="699"/>
    <x v="1"/>
    <x v="4"/>
    <n v="2796"/>
  </r>
  <r>
    <x v="14"/>
    <s v="Maria Rossi"/>
    <x v="0"/>
    <x v="5"/>
    <x v="14"/>
    <n v="2"/>
    <n v="899"/>
    <x v="2"/>
    <x v="5"/>
    <n v="1798"/>
  </r>
  <r>
    <x v="15"/>
    <s v="Oliver Smith"/>
    <x v="1"/>
    <x v="6"/>
    <x v="15"/>
    <n v="5"/>
    <n v="1299"/>
    <x v="3"/>
    <x v="5"/>
    <n v="6495"/>
  </r>
  <r>
    <x v="16"/>
    <s v="Elin Karlsson"/>
    <x v="2"/>
    <x v="6"/>
    <x v="16"/>
    <n v="1"/>
    <n v="1599"/>
    <x v="0"/>
    <x v="6"/>
    <n v="1599"/>
  </r>
  <r>
    <x v="17"/>
    <s v="Hugo Laurent"/>
    <x v="3"/>
    <x v="0"/>
    <x v="17"/>
    <n v="6"/>
    <n v="79"/>
    <x v="1"/>
    <x v="6"/>
    <n v="474"/>
  </r>
  <r>
    <x v="18"/>
    <s v="Nina Weber"/>
    <x v="5"/>
    <x v="1"/>
    <x v="18"/>
    <n v="3"/>
    <n v="149"/>
    <x v="2"/>
    <x v="6"/>
    <n v="447"/>
  </r>
  <r>
    <x v="19"/>
    <s v="Tom Johnson"/>
    <x v="4"/>
    <x v="2"/>
    <x v="19"/>
    <n v="2"/>
    <n v="249"/>
    <x v="3"/>
    <x v="0"/>
    <n v="498"/>
  </r>
  <r>
    <x v="20"/>
    <s v="Lina Andersson"/>
    <x v="0"/>
    <x v="3"/>
    <x v="20"/>
    <n v="4"/>
    <n v="399"/>
    <x v="0"/>
    <x v="1"/>
    <n v="1596"/>
  </r>
  <r>
    <x v="21"/>
    <s v="Axel Bergstr√∂m"/>
    <x v="1"/>
    <x v="4"/>
    <x v="21"/>
    <n v="1"/>
    <n v="599"/>
    <x v="1"/>
    <x v="2"/>
    <n v="599"/>
  </r>
  <r>
    <x v="22"/>
    <s v="Maja Eriksson"/>
    <x v="2"/>
    <x v="5"/>
    <x v="22"/>
    <n v="2"/>
    <n v="799"/>
    <x v="2"/>
    <x v="3"/>
    <n v="1598"/>
  </r>
  <r>
    <x v="23"/>
    <s v="Oskar Nilsson"/>
    <x v="3"/>
    <x v="6"/>
    <x v="23"/>
    <n v="5"/>
    <n v="999"/>
    <x v="3"/>
    <x v="4"/>
    <n v="4995"/>
  </r>
  <r>
    <x v="24"/>
    <s v="Ella Karlsson"/>
    <x v="5"/>
    <x v="0"/>
    <x v="24"/>
    <n v="3"/>
    <n v="1199"/>
    <x v="0"/>
    <x v="5"/>
    <n v="3597"/>
  </r>
  <r>
    <x v="25"/>
    <s v="William Johansson"/>
    <x v="4"/>
    <x v="1"/>
    <x v="25"/>
    <n v="1"/>
    <n v="1499"/>
    <x v="1"/>
    <x v="6"/>
    <n v="1499"/>
  </r>
  <r>
    <x v="26"/>
    <s v="Alma Larsson"/>
    <x v="0"/>
    <x v="2"/>
    <x v="26"/>
    <n v="4"/>
    <n v="1999"/>
    <x v="2"/>
    <x v="0"/>
    <n v="7996"/>
  </r>
  <r>
    <x v="27"/>
    <s v="Viktor Persson"/>
    <x v="1"/>
    <x v="3"/>
    <x v="27"/>
    <n v="2"/>
    <n v="59"/>
    <x v="3"/>
    <x v="1"/>
    <n v="118"/>
  </r>
  <r>
    <x v="28"/>
    <s v="Nora Lindgren"/>
    <x v="2"/>
    <x v="4"/>
    <x v="28"/>
    <n v="6"/>
    <n v="99"/>
    <x v="0"/>
    <x v="2"/>
    <n v="594"/>
  </r>
  <r>
    <x v="29"/>
    <s v="Elias Holm"/>
    <x v="3"/>
    <x v="5"/>
    <x v="29"/>
    <n v="1"/>
    <n v="159"/>
    <x v="1"/>
    <x v="3"/>
    <n v="159"/>
  </r>
  <r>
    <x v="30"/>
    <s v="Freja Sandberg"/>
    <x v="5"/>
    <x v="6"/>
    <x v="30"/>
    <n v="3"/>
    <n v="229"/>
    <x v="2"/>
    <x v="4"/>
    <n v="687"/>
  </r>
  <r>
    <x v="31"/>
    <s v="Isak Gustafsson"/>
    <x v="4"/>
    <x v="0"/>
    <x v="31"/>
    <n v="5"/>
    <n v="349"/>
    <x v="3"/>
    <x v="5"/>
    <n v="1745"/>
  </r>
  <r>
    <x v="32"/>
    <s v="Alice Lund"/>
    <x v="0"/>
    <x v="1"/>
    <x v="32"/>
    <n v="2"/>
    <n v="449"/>
    <x v="0"/>
    <x v="6"/>
    <n v="898"/>
  </r>
  <r>
    <x v="33"/>
    <s v="Theo Andersson"/>
    <x v="1"/>
    <x v="2"/>
    <x v="33"/>
    <n v="4"/>
    <n v="549"/>
    <x v="1"/>
    <x v="0"/>
    <n v="2196"/>
  </r>
  <r>
    <x v="34"/>
    <s v="Ida Berg"/>
    <x v="2"/>
    <x v="3"/>
    <x v="34"/>
    <n v="1"/>
    <n v="649"/>
    <x v="2"/>
    <x v="1"/>
    <n v="649"/>
  </r>
  <r>
    <x v="35"/>
    <s v="Filip Karlsson"/>
    <x v="3"/>
    <x v="4"/>
    <x v="35"/>
    <n v="2"/>
    <n v="749"/>
    <x v="3"/>
    <x v="2"/>
    <n v="1498"/>
  </r>
  <r>
    <x v="36"/>
    <s v="Julia Svensson"/>
    <x v="5"/>
    <x v="5"/>
    <x v="36"/>
    <n v="3"/>
    <n v="849"/>
    <x v="0"/>
    <x v="3"/>
    <n v="2547"/>
  </r>
  <r>
    <x v="37"/>
    <s v="Max Lindholm"/>
    <x v="4"/>
    <x v="6"/>
    <x v="37"/>
    <n v="6"/>
    <n v="949"/>
    <x v="1"/>
    <x v="4"/>
    <n v="5694"/>
  </r>
  <r>
    <x v="38"/>
    <s v="Ebba Persson"/>
    <x v="0"/>
    <x v="0"/>
    <x v="38"/>
    <n v="5"/>
    <n v="1049"/>
    <x v="2"/>
    <x v="5"/>
    <n v="5245"/>
  </r>
  <r>
    <x v="39"/>
    <s v="Adam Nilsson"/>
    <x v="1"/>
    <x v="1"/>
    <x v="39"/>
    <n v="1"/>
    <n v="1149"/>
    <x v="3"/>
    <x v="6"/>
    <n v="1149"/>
  </r>
  <r>
    <x v="40"/>
    <s v="Clara Bergman"/>
    <x v="2"/>
    <x v="2"/>
    <x v="40"/>
    <n v="4"/>
    <n v="1249"/>
    <x v="0"/>
    <x v="0"/>
    <n v="4996"/>
  </r>
  <r>
    <x v="41"/>
    <s v="Hugo Lind"/>
    <x v="3"/>
    <x v="3"/>
    <x v="41"/>
    <n v="2"/>
    <n v="1349"/>
    <x v="1"/>
    <x v="1"/>
    <n v="2698"/>
  </r>
  <r>
    <x v="42"/>
    <s v="Lea Johansson"/>
    <x v="5"/>
    <x v="4"/>
    <x v="42"/>
    <n v="3"/>
    <n v="1449"/>
    <x v="2"/>
    <x v="2"/>
    <n v="4347"/>
  </r>
  <r>
    <x v="43"/>
    <s v="Noel Eriksson"/>
    <x v="4"/>
    <x v="5"/>
    <x v="43"/>
    <n v="1"/>
    <n v="1549"/>
    <x v="3"/>
    <x v="3"/>
    <n v="1549"/>
  </r>
  <r>
    <x v="44"/>
    <s v="Signe Larsson"/>
    <x v="0"/>
    <x v="6"/>
    <x v="44"/>
    <n v="5"/>
    <n v="1649"/>
    <x v="0"/>
    <x v="4"/>
    <n v="8245"/>
  </r>
  <r>
    <x v="45"/>
    <s v="Liam Svensson"/>
    <x v="1"/>
    <x v="0"/>
    <x v="45"/>
    <n v="6"/>
    <n v="1749"/>
    <x v="1"/>
    <x v="5"/>
    <n v="10494"/>
  </r>
  <r>
    <x v="46"/>
    <s v="Mila Karlsson"/>
    <x v="2"/>
    <x v="1"/>
    <x v="46"/>
    <n v="2"/>
    <n v="1849"/>
    <x v="2"/>
    <x v="6"/>
    <n v="3698"/>
  </r>
  <r>
    <x v="47"/>
    <s v="Elliot Berg"/>
    <x v="3"/>
    <x v="2"/>
    <x v="47"/>
    <n v="4"/>
    <n v="1949"/>
    <x v="3"/>
    <x v="0"/>
    <n v="7796"/>
  </r>
  <r>
    <x v="48"/>
    <s v="Astrid Holm"/>
    <x v="5"/>
    <x v="3"/>
    <x v="48"/>
    <n v="1"/>
    <n v="2049"/>
    <x v="0"/>
    <x v="1"/>
    <n v="2049"/>
  </r>
  <r>
    <x v="49"/>
    <s v="Melvin Persson"/>
    <x v="4"/>
    <x v="4"/>
    <x v="49"/>
    <n v="3"/>
    <n v="2149"/>
    <x v="1"/>
    <x v="2"/>
    <n v="6447"/>
  </r>
  <r>
    <x v="50"/>
    <s v="Olivia Wilson"/>
    <x v="0"/>
    <x v="5"/>
    <x v="50"/>
    <n v="2"/>
    <n v="2249"/>
    <x v="2"/>
    <x v="3"/>
    <n v="4498"/>
  </r>
  <r>
    <x v="51"/>
    <s v="James Brown"/>
    <x v="1"/>
    <x v="6"/>
    <x v="51"/>
    <n v="5"/>
    <n v="2349"/>
    <x v="3"/>
    <x v="4"/>
    <n v="11745"/>
  </r>
  <r>
    <x v="52"/>
    <s v="Emily Davis"/>
    <x v="2"/>
    <x v="0"/>
    <x v="52"/>
    <n v="4"/>
    <n v="2449"/>
    <x v="0"/>
    <x v="5"/>
    <n v="9796"/>
  </r>
  <r>
    <x v="53"/>
    <s v="Daniel Miller"/>
    <x v="3"/>
    <x v="1"/>
    <x v="53"/>
    <n v="1"/>
    <n v="2549"/>
    <x v="1"/>
    <x v="6"/>
    <n v="2549"/>
  </r>
  <r>
    <x v="54"/>
    <s v="Sophia Taylor"/>
    <x v="5"/>
    <x v="2"/>
    <x v="54"/>
    <n v="6"/>
    <n v="2649"/>
    <x v="2"/>
    <x v="0"/>
    <n v="15894"/>
  </r>
  <r>
    <x v="55"/>
    <s v="Benjamin Anderson"/>
    <x v="4"/>
    <x v="3"/>
    <x v="55"/>
    <n v="3"/>
    <n v="2749"/>
    <x v="3"/>
    <x v="1"/>
    <n v="8247"/>
  </r>
  <r>
    <x v="56"/>
    <s v="Charlotte Thomas"/>
    <x v="0"/>
    <x v="4"/>
    <x v="56"/>
    <n v="2"/>
    <n v="2849"/>
    <x v="0"/>
    <x v="2"/>
    <n v="5698"/>
  </r>
  <r>
    <x v="57"/>
    <s v="Henry Moore"/>
    <x v="1"/>
    <x v="5"/>
    <x v="57"/>
    <n v="4"/>
    <n v="2949"/>
    <x v="1"/>
    <x v="3"/>
    <n v="11796"/>
  </r>
  <r>
    <x v="58"/>
    <s v="Amelia Martin"/>
    <x v="2"/>
    <x v="6"/>
    <x v="58"/>
    <n v="5"/>
    <n v="3049"/>
    <x v="2"/>
    <x v="4"/>
    <n v="15245"/>
  </r>
  <r>
    <x v="59"/>
    <s v="Jack Thompson"/>
    <x v="3"/>
    <x v="0"/>
    <x v="59"/>
    <n v="1"/>
    <n v="3149"/>
    <x v="3"/>
    <x v="5"/>
    <n v="3149"/>
  </r>
  <r>
    <x v="60"/>
    <s v="Isabella White"/>
    <x v="5"/>
    <x v="1"/>
    <x v="60"/>
    <n v="2"/>
    <n v="3249"/>
    <x v="0"/>
    <x v="6"/>
    <n v="6498"/>
  </r>
  <r>
    <x v="61"/>
    <s v="Lucas Harris"/>
    <x v="4"/>
    <x v="2"/>
    <x v="61"/>
    <n v="3"/>
    <n v="3349"/>
    <x v="1"/>
    <x v="0"/>
    <n v="10047"/>
  </r>
  <r>
    <x v="62"/>
    <s v="Mia Clark"/>
    <x v="0"/>
    <x v="3"/>
    <x v="62"/>
    <n v="6"/>
    <n v="3449"/>
    <x v="2"/>
    <x v="1"/>
    <n v="20694"/>
  </r>
  <r>
    <x v="63"/>
    <s v="Alexander Lewis"/>
    <x v="1"/>
    <x v="4"/>
    <x v="63"/>
    <n v="4"/>
    <n v="3549"/>
    <x v="3"/>
    <x v="2"/>
    <n v="14196"/>
  </r>
  <r>
    <x v="64"/>
    <s v="Grace Walker"/>
    <x v="2"/>
    <x v="5"/>
    <x v="64"/>
    <n v="1"/>
    <n v="3649"/>
    <x v="0"/>
    <x v="3"/>
    <n v="3649"/>
  </r>
  <r>
    <x v="65"/>
    <s v="Leo Hall"/>
    <x v="3"/>
    <x v="6"/>
    <x v="65"/>
    <n v="5"/>
    <n v="3749"/>
    <x v="1"/>
    <x v="4"/>
    <n v="18745"/>
  </r>
  <r>
    <x v="66"/>
    <s v="Chloe Young"/>
    <x v="5"/>
    <x v="0"/>
    <x v="66"/>
    <n v="2"/>
    <n v="3849"/>
    <x v="2"/>
    <x v="5"/>
    <n v="7698"/>
  </r>
  <r>
    <x v="67"/>
    <s v="Oscar King"/>
    <x v="4"/>
    <x v="1"/>
    <x v="67"/>
    <n v="3"/>
    <n v="3949"/>
    <x v="3"/>
    <x v="6"/>
    <n v="11847"/>
  </r>
  <r>
    <x v="68"/>
    <s v="Lily Wright"/>
    <x v="0"/>
    <x v="2"/>
    <x v="68"/>
    <n v="4"/>
    <n v="4049"/>
    <x v="0"/>
    <x v="0"/>
    <n v="16196"/>
  </r>
  <r>
    <x v="69"/>
    <s v="Finn Scott"/>
    <x v="1"/>
    <x v="3"/>
    <x v="69"/>
    <n v="1"/>
    <n v="4149"/>
    <x v="1"/>
    <x v="1"/>
    <n v="4149"/>
  </r>
  <r>
    <x v="70"/>
    <s v="Ava Green"/>
    <x v="2"/>
    <x v="4"/>
    <x v="70"/>
    <n v="6"/>
    <n v="4249"/>
    <x v="2"/>
    <x v="2"/>
    <n v="25494"/>
  </r>
  <r>
    <x v="71"/>
    <s v="Arthur Baker"/>
    <x v="3"/>
    <x v="5"/>
    <x v="71"/>
    <n v="2"/>
    <n v="4349"/>
    <x v="3"/>
    <x v="3"/>
    <n v="8698"/>
  </r>
  <r>
    <x v="72"/>
    <s v="Ella Adams"/>
    <x v="5"/>
    <x v="6"/>
    <x v="72"/>
    <n v="5"/>
    <n v="4449"/>
    <x v="0"/>
    <x v="4"/>
    <n v="22245"/>
  </r>
  <r>
    <x v="73"/>
    <s v="Noah Nelson"/>
    <x v="4"/>
    <x v="0"/>
    <x v="73"/>
    <n v="3"/>
    <n v="4549"/>
    <x v="1"/>
    <x v="5"/>
    <n v="13647"/>
  </r>
  <r>
    <x v="74"/>
    <s v="Emma Carter"/>
    <x v="0"/>
    <x v="1"/>
    <x v="74"/>
    <n v="1"/>
    <n v="4649"/>
    <x v="2"/>
    <x v="6"/>
    <n v="4649"/>
  </r>
  <r>
    <x v="75"/>
    <s v="Liam Mitchell"/>
    <x v="1"/>
    <x v="2"/>
    <x v="75"/>
    <n v="4"/>
    <n v="4749"/>
    <x v="3"/>
    <x v="0"/>
    <n v="18996"/>
  </r>
  <r>
    <x v="76"/>
    <s v="Sofia Roberts"/>
    <x v="2"/>
    <x v="3"/>
    <x v="76"/>
    <n v="2"/>
    <n v="4849"/>
    <x v="0"/>
    <x v="1"/>
    <n v="9698"/>
  </r>
  <r>
    <x v="77"/>
    <s v="Oliver Turner"/>
    <x v="3"/>
    <x v="4"/>
    <x v="77"/>
    <n v="6"/>
    <n v="4949"/>
    <x v="1"/>
    <x v="2"/>
    <n v="29694"/>
  </r>
  <r>
    <x v="78"/>
    <s v="Maya Phillips"/>
    <x v="5"/>
    <x v="5"/>
    <x v="78"/>
    <n v="5"/>
    <n v="5049"/>
    <x v="2"/>
    <x v="3"/>
    <n v="25245"/>
  </r>
  <r>
    <x v="79"/>
    <s v="Ethan Campbell"/>
    <x v="4"/>
    <x v="6"/>
    <x v="79"/>
    <n v="1"/>
    <n v="5149"/>
    <x v="3"/>
    <x v="4"/>
    <n v="5149"/>
  </r>
  <r>
    <x v="80"/>
    <s v="Zoe Parker"/>
    <x v="0"/>
    <x v="0"/>
    <x v="80"/>
    <n v="3"/>
    <n v="5249"/>
    <x v="0"/>
    <x v="5"/>
    <n v="15747"/>
  </r>
  <r>
    <x v="81"/>
    <s v="Hannah Evans"/>
    <x v="1"/>
    <x v="1"/>
    <x v="81"/>
    <n v="2"/>
    <n v="5349"/>
    <x v="1"/>
    <x v="6"/>
    <n v="10698"/>
  </r>
  <r>
    <x v="82"/>
    <s v="Samuel Edwards"/>
    <x v="2"/>
    <x v="2"/>
    <x v="82"/>
    <n v="4"/>
    <n v="5449"/>
    <x v="2"/>
    <x v="0"/>
    <n v="21796"/>
  </r>
  <r>
    <x v="83"/>
    <s v="Victoria Collins"/>
    <x v="3"/>
    <x v="3"/>
    <x v="83"/>
    <n v="1"/>
    <n v="5549"/>
    <x v="3"/>
    <x v="1"/>
    <n v="5549"/>
  </r>
  <r>
    <x v="84"/>
    <s v="David Stewart"/>
    <x v="5"/>
    <x v="4"/>
    <x v="84"/>
    <n v="5"/>
    <n v="5649"/>
    <x v="0"/>
    <x v="2"/>
    <n v="28245"/>
  </r>
  <r>
    <x v="85"/>
    <s v="Laura Morris"/>
    <x v="4"/>
    <x v="5"/>
    <x v="85"/>
    <n v="6"/>
    <n v="5749"/>
    <x v="1"/>
    <x v="3"/>
    <n v="34494"/>
  </r>
  <r>
    <x v="86"/>
    <s v="Gabriel Rogers"/>
    <x v="0"/>
    <x v="6"/>
    <x v="86"/>
    <n v="2"/>
    <n v="5849"/>
    <x v="2"/>
    <x v="4"/>
    <n v="11698"/>
  </r>
  <r>
    <x v="87"/>
    <s v="Natalie Reed"/>
    <x v="1"/>
    <x v="0"/>
    <x v="87"/>
    <n v="3"/>
    <n v="5949"/>
    <x v="3"/>
    <x v="5"/>
    <n v="17847"/>
  </r>
  <r>
    <x v="88"/>
    <s v="Thomas Cook"/>
    <x v="2"/>
    <x v="1"/>
    <x v="88"/>
    <n v="4"/>
    <n v="6049"/>
    <x v="0"/>
    <x v="6"/>
    <n v="24196"/>
  </r>
  <r>
    <x v="89"/>
    <s v="Sophie Morgan"/>
    <x v="3"/>
    <x v="2"/>
    <x v="89"/>
    <n v="1"/>
    <n v="6149"/>
    <x v="1"/>
    <x v="0"/>
    <n v="6149"/>
  </r>
  <r>
    <x v="90"/>
    <s v="Mateo Silva"/>
    <x v="5"/>
    <x v="3"/>
    <x v="90"/>
    <n v="2"/>
    <n v="6249"/>
    <x v="2"/>
    <x v="1"/>
    <n v="12498"/>
  </r>
  <r>
    <x v="91"/>
    <s v="Ines Santos"/>
    <x v="4"/>
    <x v="4"/>
    <x v="91"/>
    <n v="5"/>
    <n v="6349"/>
    <x v="3"/>
    <x v="2"/>
    <n v="31745"/>
  </r>
  <r>
    <x v="92"/>
    <s v="Jo√£o Ferreira"/>
    <x v="0"/>
    <x v="5"/>
    <x v="92"/>
    <n v="3"/>
    <n v="6449"/>
    <x v="0"/>
    <x v="3"/>
    <n v="19347"/>
  </r>
  <r>
    <x v="93"/>
    <s v="Beatriz Costa"/>
    <x v="1"/>
    <x v="6"/>
    <x v="93"/>
    <n v="6"/>
    <n v="6549"/>
    <x v="1"/>
    <x v="4"/>
    <n v="39294"/>
  </r>
  <r>
    <x v="94"/>
    <s v="Tiago Pereira"/>
    <x v="2"/>
    <x v="0"/>
    <x v="94"/>
    <n v="4"/>
    <n v="6649"/>
    <x v="2"/>
    <x v="5"/>
    <n v="26596"/>
  </r>
  <r>
    <x v="95"/>
    <s v="Camila Almeida"/>
    <x v="3"/>
    <x v="1"/>
    <x v="95"/>
    <n v="1"/>
    <n v="6749"/>
    <x v="3"/>
    <x v="6"/>
    <n v="6749"/>
  </r>
  <r>
    <x v="96"/>
    <s v="Rafael Oliveira"/>
    <x v="5"/>
    <x v="2"/>
    <x v="96"/>
    <n v="2"/>
    <n v="6849"/>
    <x v="0"/>
    <x v="0"/>
    <n v="13698"/>
  </r>
  <r>
    <x v="97"/>
    <s v="Lucia Moretti"/>
    <x v="4"/>
    <x v="3"/>
    <x v="97"/>
    <n v="3"/>
    <n v="6949"/>
    <x v="1"/>
    <x v="1"/>
    <n v="20847"/>
  </r>
  <r>
    <x v="98"/>
    <s v="Marco Bianchi"/>
    <x v="0"/>
    <x v="4"/>
    <x v="98"/>
    <n v="5"/>
    <n v="7049"/>
    <x v="2"/>
    <x v="2"/>
    <n v="35245"/>
  </r>
  <r>
    <x v="99"/>
    <s v="Elena Rossi"/>
    <x v="5"/>
    <x v="5"/>
    <x v="99"/>
    <n v="4"/>
    <n v="7149"/>
    <x v="3"/>
    <x v="3"/>
    <n v="285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777ED-01BC-894D-8641-BAA568E0D36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13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x="1"/>
        <item x="3"/>
        <item x="2"/>
        <item x="0"/>
        <item x="5"/>
        <item x="4"/>
        <item t="default"/>
      </items>
    </pivotField>
    <pivotField showAll="0"/>
    <pivotField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order_value_sek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F4486-09E7-6B48-9923-D95812CE94F4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13">
    <pivotField showAll="0"/>
    <pivotField showAll="0"/>
    <pivotField showAll="0"/>
    <pivotField axis="axisRow" showAll="0">
      <items count="8">
        <item x="3"/>
        <item x="5"/>
        <item x="1"/>
        <item x="0"/>
        <item x="2"/>
        <item x="4"/>
        <item x="6"/>
        <item t="default"/>
      </items>
    </pivotField>
    <pivotField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_value_sek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63B4-11E9-C740-BA0F-A5687C77560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3">
    <pivotField dataField="1" showAll="0"/>
    <pivotField showAll="0"/>
    <pivotField showAll="0"/>
    <pivotField showAll="0"/>
    <pivotField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D4BE9-3665-F240-9450-CAAA4249A651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13">
    <pivotField dataField="1" showAll="0"/>
    <pivotField showAll="0"/>
    <pivotField showAll="0"/>
    <pivotField showAll="0"/>
    <pivotField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axis="axisRow" showAll="0">
      <items count="8">
        <item x="6"/>
        <item x="3"/>
        <item x="0"/>
        <item x="4"/>
        <item x="2"/>
        <item x="5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BBF5-D19B-F74F-AC3A-AC9D202BE027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4" firstHeaderRow="1" firstDataRow="1" firstDataCol="1"/>
  <pivotFields count="13">
    <pivotField showAll="0"/>
    <pivotField showAll="0"/>
    <pivotField showAll="0"/>
    <pivotField showAll="0"/>
    <pivotField axis="axisRow"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0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order_value_sek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31E68-E14D-5948-8027-F26222AA981A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A2" firstHeaderRow="1" firstDataRow="1" firstDataCol="0"/>
  <pivotFields count="13">
    <pivotField showAll="0"/>
    <pivotField showAll="0"/>
    <pivotField showAll="0"/>
    <pivotField showAll="0"/>
    <pivotField numFmtId="14" showAll="0">
      <items count="101">
        <item x="10"/>
        <item x="82"/>
        <item x="11"/>
        <item x="83"/>
        <item x="12"/>
        <item x="13"/>
        <item x="2"/>
        <item x="14"/>
        <item x="84"/>
        <item x="15"/>
        <item x="16"/>
        <item x="85"/>
        <item x="17"/>
        <item x="18"/>
        <item x="86"/>
        <item x="19"/>
        <item x="87"/>
        <item x="20"/>
        <item x="5"/>
        <item x="21"/>
        <item x="88"/>
        <item x="22"/>
        <item x="23"/>
        <item x="89"/>
        <item x="24"/>
        <item x="25"/>
        <item x="26"/>
        <item x="8"/>
        <item x="90"/>
        <item x="27"/>
        <item x="91"/>
        <item x="28"/>
        <item x="29"/>
        <item x="92"/>
        <item x="30"/>
        <item x="31"/>
        <item x="32"/>
        <item x="93"/>
        <item x="33"/>
        <item x="34"/>
        <item x="0"/>
        <item x="35"/>
        <item x="94"/>
        <item x="36"/>
        <item x="1"/>
        <item x="37"/>
        <item x="95"/>
        <item x="38"/>
        <item x="39"/>
        <item x="96"/>
        <item x="40"/>
        <item x="41"/>
        <item x="3"/>
        <item x="97"/>
        <item x="42"/>
        <item x="43"/>
        <item x="98"/>
        <item x="44"/>
        <item x="45"/>
        <item x="99"/>
        <item x="46"/>
        <item x="47"/>
        <item x="6"/>
        <item x="48"/>
        <item x="49"/>
        <item x="50"/>
        <item x="51"/>
        <item x="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4"/>
        <item x="66"/>
        <item x="67"/>
        <item x="68"/>
        <item x="69"/>
        <item x="70"/>
        <item x="71"/>
        <item x="72"/>
        <item x="73"/>
        <item x="7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Sum of total_order_value_sek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F3B11-4DE4-5E40-B174-E7518761BB1A}" name="Table2" displayName="Table2" ref="A1:A1048576" totalsRowShown="0">
  <autoFilter ref="A1:A1048576" xr:uid="{04FF3B11-4DE4-5E40-B174-E7518761BB1A}"/>
  <tableColumns count="1">
    <tableColumn id="1" xr3:uid="{A13DE9B1-6A39-154D-AEFC-4AA15E7F3503}" name="order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EA96B9-C2A8-4C40-8301-B75736FE4861}" name="Table3" displayName="Table3" ref="B1:J1048576" totalsRowShown="0">
  <autoFilter ref="B1:J1048576" xr:uid="{11EA96B9-C2A8-4C40-8301-B75736FE4861}"/>
  <tableColumns count="9">
    <tableColumn id="1" xr3:uid="{DFE97655-7077-B24D-9804-589D6AF99F24}" name="customer_name"/>
    <tableColumn id="2" xr3:uid="{50FDDB58-CADF-6944-B3C0-C2843FEFFA1E}" name="country"/>
    <tableColumn id="3" xr3:uid="{64524D8D-BAA5-8B41-BC78-DAACCD19A0F6}" name="product_category"/>
    <tableColumn id="4" xr3:uid="{31CE6218-3FBD-2D46-ABEC-000B7FDA7A3D}" name="order_date"/>
    <tableColumn id="5" xr3:uid="{16DA5457-AAC7-D44A-9F27-2E57494B9A17}" name="quantity"/>
    <tableColumn id="6" xr3:uid="{2D971469-CC9D-9348-B919-A0D7654EAA0A}" name="unit_price_sek"/>
    <tableColumn id="7" xr3:uid="{E7CC5620-01BA-A74F-B268-ABDD4AB3E3DD}" name="payment_status"/>
    <tableColumn id="8" xr3:uid="{06DA452D-CDCA-5B4B-93C1-4ECA8C99D979}" name="delivery_status"/>
    <tableColumn id="9" xr3:uid="{3C59C0C6-B5BA-FB40-89A4-62D39C623070}" name="total_order_value_s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0657-E33E-034D-836A-4EE0F9FEA35F}">
  <dimension ref="A1:B8"/>
  <sheetViews>
    <sheetView workbookViewId="0">
      <selection activeCell="B28" sqref="B28"/>
    </sheetView>
  </sheetViews>
  <sheetFormatPr baseColWidth="10" defaultRowHeight="16" x14ac:dyDescent="0.2"/>
  <cols>
    <col min="1" max="1" width="13" bestFit="1" customWidth="1"/>
    <col min="2" max="2" width="25.5" bestFit="1" customWidth="1"/>
    <col min="3" max="3" width="26.6640625" bestFit="1" customWidth="1"/>
  </cols>
  <sheetData>
    <row r="1" spans="1:2" x14ac:dyDescent="0.2">
      <c r="A1" s="2" t="s">
        <v>234</v>
      </c>
      <c r="B1" t="s">
        <v>236</v>
      </c>
    </row>
    <row r="2" spans="1:2" x14ac:dyDescent="0.2">
      <c r="A2" s="3" t="s">
        <v>22</v>
      </c>
      <c r="B2" s="4">
        <v>151314</v>
      </c>
    </row>
    <row r="3" spans="1:2" x14ac:dyDescent="0.2">
      <c r="A3" s="3" t="s">
        <v>38</v>
      </c>
      <c r="B3" s="4">
        <v>124241</v>
      </c>
    </row>
    <row r="4" spans="1:2" x14ac:dyDescent="0.2">
      <c r="A4" s="3" t="s">
        <v>30</v>
      </c>
      <c r="B4" s="4">
        <v>151718</v>
      </c>
    </row>
    <row r="5" spans="1:2" x14ac:dyDescent="0.2">
      <c r="A5" s="3" t="s">
        <v>12</v>
      </c>
      <c r="B5" s="4">
        <v>161746</v>
      </c>
    </row>
    <row r="6" spans="1:2" x14ac:dyDescent="0.2">
      <c r="A6" s="3" t="s">
        <v>55</v>
      </c>
      <c r="B6" s="4">
        <v>178584</v>
      </c>
    </row>
    <row r="7" spans="1:2" x14ac:dyDescent="0.2">
      <c r="A7" s="3" t="s">
        <v>43</v>
      </c>
      <c r="B7" s="4">
        <v>154686</v>
      </c>
    </row>
    <row r="8" spans="1:2" x14ac:dyDescent="0.2">
      <c r="A8" s="3" t="s">
        <v>235</v>
      </c>
      <c r="B8" s="4">
        <v>922289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0039-667F-AA40-A4C7-B5D0E393E40B}">
  <dimension ref="A1:B9"/>
  <sheetViews>
    <sheetView workbookViewId="0">
      <selection activeCell="D32" sqref="D32"/>
    </sheetView>
  </sheetViews>
  <sheetFormatPr baseColWidth="10" defaultRowHeight="16" x14ac:dyDescent="0.2"/>
  <cols>
    <col min="1" max="1" width="14" bestFit="1" customWidth="1"/>
    <col min="2" max="2" width="25.5" bestFit="1" customWidth="1"/>
  </cols>
  <sheetData>
    <row r="1" spans="1:2" x14ac:dyDescent="0.2">
      <c r="A1" s="2" t="s">
        <v>234</v>
      </c>
      <c r="B1" t="s">
        <v>236</v>
      </c>
    </row>
    <row r="2" spans="1:2" x14ac:dyDescent="0.2">
      <c r="A2" s="3" t="s">
        <v>44</v>
      </c>
      <c r="B2" s="4">
        <v>89724</v>
      </c>
    </row>
    <row r="3" spans="1:2" x14ac:dyDescent="0.2">
      <c r="A3" s="3" t="s">
        <v>58</v>
      </c>
      <c r="B3" s="4">
        <v>146770</v>
      </c>
    </row>
    <row r="4" spans="1:2" x14ac:dyDescent="0.2">
      <c r="A4" s="3" t="s">
        <v>23</v>
      </c>
      <c r="B4" s="4">
        <v>78017</v>
      </c>
    </row>
    <row r="5" spans="1:2" x14ac:dyDescent="0.2">
      <c r="A5" s="3" t="s">
        <v>13</v>
      </c>
      <c r="B5" s="4">
        <v>118231</v>
      </c>
    </row>
    <row r="6" spans="1:2" x14ac:dyDescent="0.2">
      <c r="A6" s="3" t="s">
        <v>33</v>
      </c>
      <c r="B6" s="4">
        <v>152113</v>
      </c>
    </row>
    <row r="7" spans="1:2" x14ac:dyDescent="0.2">
      <c r="A7" s="3" t="s">
        <v>51</v>
      </c>
      <c r="B7" s="4">
        <v>185598</v>
      </c>
    </row>
    <row r="8" spans="1:2" x14ac:dyDescent="0.2">
      <c r="A8" s="3" t="s">
        <v>64</v>
      </c>
      <c r="B8" s="4">
        <v>151836</v>
      </c>
    </row>
    <row r="9" spans="1:2" x14ac:dyDescent="0.2">
      <c r="A9" s="3" t="s">
        <v>235</v>
      </c>
      <c r="B9" s="4">
        <v>922289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56CC-D58F-AD44-AEC5-D4710E4EE2C6}">
  <dimension ref="A1:B6"/>
  <sheetViews>
    <sheetView topLeftCell="A2" zoomScale="111" workbookViewId="0">
      <selection activeCell="E28" sqref="E28"/>
    </sheetView>
  </sheetViews>
  <sheetFormatPr baseColWidth="10" defaultRowHeight="16" x14ac:dyDescent="0.2"/>
  <cols>
    <col min="1" max="1" width="13" bestFit="1" customWidth="1"/>
    <col min="2" max="2" width="15.1640625" bestFit="1" customWidth="1"/>
  </cols>
  <sheetData>
    <row r="1" spans="1:2" x14ac:dyDescent="0.2">
      <c r="A1" s="2" t="s">
        <v>234</v>
      </c>
      <c r="B1" t="s">
        <v>237</v>
      </c>
    </row>
    <row r="2" spans="1:2" x14ac:dyDescent="0.2">
      <c r="A2" s="3" t="s">
        <v>45</v>
      </c>
      <c r="B2" s="4">
        <v>25</v>
      </c>
    </row>
    <row r="3" spans="1:2" x14ac:dyDescent="0.2">
      <c r="A3" s="3" t="s">
        <v>14</v>
      </c>
      <c r="B3" s="4">
        <v>25</v>
      </c>
    </row>
    <row r="4" spans="1:2" x14ac:dyDescent="0.2">
      <c r="A4" s="3" t="s">
        <v>34</v>
      </c>
      <c r="B4" s="4">
        <v>25</v>
      </c>
    </row>
    <row r="5" spans="1:2" x14ac:dyDescent="0.2">
      <c r="A5" s="3" t="s">
        <v>24</v>
      </c>
      <c r="B5" s="4">
        <v>25</v>
      </c>
    </row>
    <row r="6" spans="1:2" x14ac:dyDescent="0.2">
      <c r="A6" s="3" t="s">
        <v>235</v>
      </c>
      <c r="B6" s="4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2D16-D7C3-FF46-977D-E2BA1D4C3848}">
  <dimension ref="A1:B9"/>
  <sheetViews>
    <sheetView workbookViewId="0">
      <selection activeCell="D29" sqref="D29"/>
    </sheetView>
  </sheetViews>
  <sheetFormatPr baseColWidth="10" defaultRowHeight="16" x14ac:dyDescent="0.2"/>
  <cols>
    <col min="1" max="1" width="13" bestFit="1" customWidth="1"/>
    <col min="2" max="2" width="15.1640625" bestFit="1" customWidth="1"/>
  </cols>
  <sheetData>
    <row r="1" spans="1:2" x14ac:dyDescent="0.2">
      <c r="A1" s="2" t="s">
        <v>234</v>
      </c>
      <c r="B1" t="s">
        <v>237</v>
      </c>
    </row>
    <row r="2" spans="1:2" x14ac:dyDescent="0.2">
      <c r="A2" s="3" t="s">
        <v>67</v>
      </c>
      <c r="B2" s="4">
        <v>14</v>
      </c>
    </row>
    <row r="3" spans="1:2" x14ac:dyDescent="0.2">
      <c r="A3" s="3" t="s">
        <v>46</v>
      </c>
      <c r="B3" s="4">
        <v>14</v>
      </c>
    </row>
    <row r="4" spans="1:2" x14ac:dyDescent="0.2">
      <c r="A4" s="3" t="s">
        <v>15</v>
      </c>
      <c r="B4" s="4">
        <v>15</v>
      </c>
    </row>
    <row r="5" spans="1:2" x14ac:dyDescent="0.2">
      <c r="A5" s="3" t="s">
        <v>52</v>
      </c>
      <c r="B5" s="4">
        <v>14</v>
      </c>
    </row>
    <row r="6" spans="1:2" x14ac:dyDescent="0.2">
      <c r="A6" s="3" t="s">
        <v>35</v>
      </c>
      <c r="B6" s="4">
        <v>15</v>
      </c>
    </row>
    <row r="7" spans="1:2" x14ac:dyDescent="0.2">
      <c r="A7" s="3" t="s">
        <v>61</v>
      </c>
      <c r="B7" s="4">
        <v>13</v>
      </c>
    </row>
    <row r="8" spans="1:2" x14ac:dyDescent="0.2">
      <c r="A8" s="3" t="s">
        <v>25</v>
      </c>
      <c r="B8" s="4">
        <v>15</v>
      </c>
    </row>
    <row r="9" spans="1:2" x14ac:dyDescent="0.2">
      <c r="A9" s="3" t="s">
        <v>235</v>
      </c>
      <c r="B9" s="4">
        <v>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E930-0C80-3E47-A5C3-8508BD2F5A4F}">
  <dimension ref="A1:B14"/>
  <sheetViews>
    <sheetView workbookViewId="0">
      <selection activeCell="D34" sqref="D34"/>
    </sheetView>
  </sheetViews>
  <sheetFormatPr baseColWidth="10" defaultRowHeight="16" x14ac:dyDescent="0.2"/>
  <cols>
    <col min="1" max="1" width="13" bestFit="1" customWidth="1"/>
    <col min="2" max="2" width="25.5" bestFit="1" customWidth="1"/>
  </cols>
  <sheetData>
    <row r="1" spans="1:2" x14ac:dyDescent="0.2">
      <c r="A1" s="2" t="s">
        <v>234</v>
      </c>
      <c r="B1" t="s">
        <v>236</v>
      </c>
    </row>
    <row r="2" spans="1:2" x14ac:dyDescent="0.2">
      <c r="A2" s="3" t="s">
        <v>238</v>
      </c>
      <c r="B2" s="4">
        <v>70028</v>
      </c>
    </row>
    <row r="3" spans="1:2" x14ac:dyDescent="0.2">
      <c r="A3" s="3" t="s">
        <v>239</v>
      </c>
      <c r="B3" s="4">
        <v>41876</v>
      </c>
    </row>
    <row r="4" spans="1:2" x14ac:dyDescent="0.2">
      <c r="A4" s="3" t="s">
        <v>240</v>
      </c>
      <c r="B4" s="4">
        <v>92819</v>
      </c>
    </row>
    <row r="5" spans="1:2" x14ac:dyDescent="0.2">
      <c r="A5" s="3" t="s">
        <v>241</v>
      </c>
      <c r="B5" s="4">
        <v>87799</v>
      </c>
    </row>
    <row r="6" spans="1:2" x14ac:dyDescent="0.2">
      <c r="A6" s="3" t="s">
        <v>242</v>
      </c>
      <c r="B6" s="4">
        <v>74574</v>
      </c>
    </row>
    <row r="7" spans="1:2" x14ac:dyDescent="0.2">
      <c r="A7" s="3" t="s">
        <v>243</v>
      </c>
      <c r="B7" s="4">
        <v>89320</v>
      </c>
    </row>
    <row r="8" spans="1:2" x14ac:dyDescent="0.2">
      <c r="A8" s="3" t="s">
        <v>244</v>
      </c>
      <c r="B8" s="4">
        <v>76991</v>
      </c>
    </row>
    <row r="9" spans="1:2" x14ac:dyDescent="0.2">
      <c r="A9" s="3" t="s">
        <v>245</v>
      </c>
      <c r="B9" s="4">
        <v>80623</v>
      </c>
    </row>
    <row r="10" spans="1:2" x14ac:dyDescent="0.2">
      <c r="A10" s="3" t="s">
        <v>246</v>
      </c>
      <c r="B10" s="4">
        <v>60849</v>
      </c>
    </row>
    <row r="11" spans="1:2" x14ac:dyDescent="0.2">
      <c r="A11" s="3" t="s">
        <v>247</v>
      </c>
      <c r="B11" s="4">
        <v>84769</v>
      </c>
    </row>
    <row r="12" spans="1:2" x14ac:dyDescent="0.2">
      <c r="A12" s="3" t="s">
        <v>248</v>
      </c>
      <c r="B12" s="4">
        <v>76314</v>
      </c>
    </row>
    <row r="13" spans="1:2" x14ac:dyDescent="0.2">
      <c r="A13" s="3" t="s">
        <v>249</v>
      </c>
      <c r="B13" s="4">
        <v>86327</v>
      </c>
    </row>
    <row r="14" spans="1:2" x14ac:dyDescent="0.2">
      <c r="A14" s="3" t="s">
        <v>235</v>
      </c>
      <c r="B14" s="4">
        <v>922289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D037-7FC3-5F48-A700-40B2B0AFFD0D}">
  <dimension ref="A1:A2"/>
  <sheetViews>
    <sheetView workbookViewId="0">
      <selection activeCell="C33" sqref="C33"/>
    </sheetView>
  </sheetViews>
  <sheetFormatPr baseColWidth="10" defaultRowHeight="16" x14ac:dyDescent="0.2"/>
  <cols>
    <col min="1" max="1" width="25.5" bestFit="1" customWidth="1"/>
  </cols>
  <sheetData>
    <row r="1" spans="1:1" x14ac:dyDescent="0.2">
      <c r="A1" t="s">
        <v>236</v>
      </c>
    </row>
    <row r="2" spans="1:1" x14ac:dyDescent="0.2">
      <c r="A2" s="4">
        <v>922289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2CF8-7EC5-E944-86E5-93D26DAFC703}">
  <dimension ref="A1"/>
  <sheetViews>
    <sheetView tabSelected="1" zoomScale="99" workbookViewId="0">
      <selection activeCell="J20" sqref="J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44F9-CD2F-C042-8BEF-4B8FAA864846}">
  <dimension ref="A1:J101"/>
  <sheetViews>
    <sheetView topLeftCell="B2" workbookViewId="0">
      <selection activeCell="D23" sqref="D23"/>
    </sheetView>
  </sheetViews>
  <sheetFormatPr baseColWidth="10" defaultRowHeight="16" x14ac:dyDescent="0.2"/>
  <cols>
    <col min="1" max="1" width="11.33203125" customWidth="1"/>
    <col min="2" max="2" width="18.5" customWidth="1"/>
    <col min="3" max="3" width="24" customWidth="1"/>
    <col min="4" max="4" width="25.1640625" customWidth="1"/>
    <col min="5" max="5" width="12.33203125" customWidth="1"/>
    <col min="7" max="7" width="15.5" customWidth="1"/>
    <col min="8" max="8" width="16.83203125" customWidth="1"/>
    <col min="9" max="9" width="16" customWidth="1"/>
    <col min="10" max="10" width="21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s="1">
        <v>45306</v>
      </c>
      <c r="F2">
        <v>2</v>
      </c>
      <c r="G2">
        <v>199</v>
      </c>
      <c r="H2" t="s">
        <v>14</v>
      </c>
      <c r="I2" t="s">
        <v>15</v>
      </c>
      <c r="J2">
        <v>398</v>
      </c>
    </row>
    <row r="3" spans="1:10" x14ac:dyDescent="0.2">
      <c r="A3" t="s">
        <v>16</v>
      </c>
      <c r="B3" t="s">
        <v>17</v>
      </c>
      <c r="C3" t="s">
        <v>12</v>
      </c>
      <c r="D3" t="s">
        <v>13</v>
      </c>
      <c r="E3" s="1">
        <v>45337</v>
      </c>
      <c r="F3">
        <v>1</v>
      </c>
      <c r="G3">
        <v>499</v>
      </c>
      <c r="H3" t="s">
        <v>14</v>
      </c>
      <c r="I3" t="s">
        <v>15</v>
      </c>
      <c r="J3">
        <v>499</v>
      </c>
    </row>
    <row r="4" spans="1:10" x14ac:dyDescent="0.2">
      <c r="A4" t="s">
        <v>18</v>
      </c>
      <c r="B4" t="s">
        <v>19</v>
      </c>
      <c r="C4" t="s">
        <v>12</v>
      </c>
      <c r="D4" t="s">
        <v>13</v>
      </c>
      <c r="E4" s="1">
        <v>44995</v>
      </c>
      <c r="F4">
        <v>1</v>
      </c>
      <c r="G4">
        <v>1299</v>
      </c>
      <c r="H4" t="s">
        <v>14</v>
      </c>
      <c r="I4" t="s">
        <v>15</v>
      </c>
      <c r="J4">
        <v>1299</v>
      </c>
    </row>
    <row r="5" spans="1:10" x14ac:dyDescent="0.2">
      <c r="A5" t="s">
        <v>20</v>
      </c>
      <c r="B5" t="s">
        <v>21</v>
      </c>
      <c r="C5" t="s">
        <v>22</v>
      </c>
      <c r="D5" t="s">
        <v>23</v>
      </c>
      <c r="E5" s="1">
        <v>45402</v>
      </c>
      <c r="F5">
        <v>3</v>
      </c>
      <c r="G5">
        <v>99</v>
      </c>
      <c r="H5" t="s">
        <v>24</v>
      </c>
      <c r="I5" t="s">
        <v>25</v>
      </c>
      <c r="J5">
        <v>297</v>
      </c>
    </row>
    <row r="6" spans="1:10" x14ac:dyDescent="0.2">
      <c r="A6" t="s">
        <v>26</v>
      </c>
      <c r="B6" t="s">
        <v>27</v>
      </c>
      <c r="C6" t="s">
        <v>22</v>
      </c>
      <c r="D6" t="s">
        <v>23</v>
      </c>
      <c r="E6" s="1">
        <v>45782</v>
      </c>
      <c r="F6">
        <v>5</v>
      </c>
      <c r="G6">
        <v>249</v>
      </c>
      <c r="H6" t="s">
        <v>24</v>
      </c>
      <c r="I6" t="s">
        <v>25</v>
      </c>
      <c r="J6">
        <v>1245</v>
      </c>
    </row>
    <row r="7" spans="1:10" x14ac:dyDescent="0.2">
      <c r="A7" t="s">
        <v>28</v>
      </c>
      <c r="B7" t="s">
        <v>29</v>
      </c>
      <c r="C7" t="s">
        <v>30</v>
      </c>
      <c r="D7" t="s">
        <v>23</v>
      </c>
      <c r="E7" s="1">
        <v>45095</v>
      </c>
      <c r="F7">
        <v>2</v>
      </c>
      <c r="G7">
        <v>799</v>
      </c>
      <c r="H7" t="s">
        <v>24</v>
      </c>
      <c r="I7" t="s">
        <v>25</v>
      </c>
      <c r="J7">
        <v>1598</v>
      </c>
    </row>
    <row r="8" spans="1:10" x14ac:dyDescent="0.2">
      <c r="A8" t="s">
        <v>31</v>
      </c>
      <c r="B8" t="s">
        <v>32</v>
      </c>
      <c r="C8" t="s">
        <v>30</v>
      </c>
      <c r="D8" t="s">
        <v>33</v>
      </c>
      <c r="E8" s="1">
        <v>45495</v>
      </c>
      <c r="F8">
        <v>4</v>
      </c>
      <c r="G8">
        <v>129</v>
      </c>
      <c r="H8" t="s">
        <v>34</v>
      </c>
      <c r="I8" t="s">
        <v>35</v>
      </c>
      <c r="J8">
        <v>516</v>
      </c>
    </row>
    <row r="9" spans="1:10" x14ac:dyDescent="0.2">
      <c r="A9" t="s">
        <v>36</v>
      </c>
      <c r="B9" t="s">
        <v>37</v>
      </c>
      <c r="C9" t="s">
        <v>38</v>
      </c>
      <c r="D9" t="s">
        <v>33</v>
      </c>
      <c r="E9" s="1">
        <v>45899</v>
      </c>
      <c r="F9">
        <v>10</v>
      </c>
      <c r="G9">
        <v>2499</v>
      </c>
      <c r="H9" t="s">
        <v>34</v>
      </c>
      <c r="I9" t="s">
        <v>35</v>
      </c>
      <c r="J9">
        <v>24990</v>
      </c>
    </row>
    <row r="10" spans="1:10" x14ac:dyDescent="0.2">
      <c r="A10" t="s">
        <v>39</v>
      </c>
      <c r="B10" t="s">
        <v>40</v>
      </c>
      <c r="C10" t="s">
        <v>38</v>
      </c>
      <c r="D10" t="s">
        <v>33</v>
      </c>
      <c r="E10" s="1">
        <v>45181</v>
      </c>
      <c r="F10">
        <v>1</v>
      </c>
      <c r="G10">
        <v>349</v>
      </c>
      <c r="H10" t="s">
        <v>34</v>
      </c>
      <c r="I10" t="s">
        <v>35</v>
      </c>
      <c r="J10">
        <v>349</v>
      </c>
    </row>
    <row r="11" spans="1:10" x14ac:dyDescent="0.2">
      <c r="A11" t="s">
        <v>41</v>
      </c>
      <c r="B11" t="s">
        <v>42</v>
      </c>
      <c r="C11" t="s">
        <v>43</v>
      </c>
      <c r="D11" t="s">
        <v>44</v>
      </c>
      <c r="E11" s="1">
        <v>45566</v>
      </c>
      <c r="F11">
        <v>6</v>
      </c>
      <c r="G11">
        <v>89</v>
      </c>
      <c r="H11" t="s">
        <v>45</v>
      </c>
      <c r="I11" t="s">
        <v>46</v>
      </c>
      <c r="J11">
        <v>534</v>
      </c>
    </row>
    <row r="12" spans="1:10" x14ac:dyDescent="0.2">
      <c r="A12" t="s">
        <v>47</v>
      </c>
      <c r="B12" t="s">
        <v>48</v>
      </c>
      <c r="C12" t="s">
        <v>43</v>
      </c>
      <c r="D12" t="s">
        <v>44</v>
      </c>
      <c r="E12" s="1">
        <v>44936</v>
      </c>
      <c r="F12">
        <v>2</v>
      </c>
      <c r="G12">
        <v>199</v>
      </c>
      <c r="H12" t="s">
        <v>45</v>
      </c>
      <c r="I12" t="s">
        <v>46</v>
      </c>
      <c r="J12">
        <v>398</v>
      </c>
    </row>
    <row r="13" spans="1:10" x14ac:dyDescent="0.2">
      <c r="A13" t="s">
        <v>49</v>
      </c>
      <c r="B13" t="s">
        <v>50</v>
      </c>
      <c r="C13" t="s">
        <v>43</v>
      </c>
      <c r="D13" t="s">
        <v>51</v>
      </c>
      <c r="E13" s="1">
        <v>44951</v>
      </c>
      <c r="F13">
        <v>1</v>
      </c>
      <c r="G13">
        <v>299</v>
      </c>
      <c r="H13" t="s">
        <v>45</v>
      </c>
      <c r="I13" t="s">
        <v>52</v>
      </c>
      <c r="J13">
        <v>299</v>
      </c>
    </row>
    <row r="14" spans="1:10" x14ac:dyDescent="0.2">
      <c r="A14" t="s">
        <v>53</v>
      </c>
      <c r="B14" t="s">
        <v>54</v>
      </c>
      <c r="C14" t="s">
        <v>55</v>
      </c>
      <c r="D14" t="s">
        <v>51</v>
      </c>
      <c r="E14" s="1">
        <v>44971</v>
      </c>
      <c r="F14">
        <v>3</v>
      </c>
      <c r="G14">
        <v>499</v>
      </c>
      <c r="H14" t="s">
        <v>14</v>
      </c>
      <c r="I14" t="s">
        <v>52</v>
      </c>
      <c r="J14">
        <v>1497</v>
      </c>
    </row>
    <row r="15" spans="1:10" x14ac:dyDescent="0.2">
      <c r="A15" t="s">
        <v>56</v>
      </c>
      <c r="B15" t="s">
        <v>57</v>
      </c>
      <c r="C15" t="s">
        <v>55</v>
      </c>
      <c r="D15" t="s">
        <v>58</v>
      </c>
      <c r="E15" s="1">
        <v>44985</v>
      </c>
      <c r="F15">
        <v>4</v>
      </c>
      <c r="G15">
        <v>699</v>
      </c>
      <c r="H15" t="s">
        <v>24</v>
      </c>
      <c r="I15" t="s">
        <v>52</v>
      </c>
      <c r="J15">
        <v>2796</v>
      </c>
    </row>
    <row r="16" spans="1:10" x14ac:dyDescent="0.2">
      <c r="A16" t="s">
        <v>59</v>
      </c>
      <c r="B16" t="s">
        <v>60</v>
      </c>
      <c r="C16" t="s">
        <v>12</v>
      </c>
      <c r="D16" t="s">
        <v>58</v>
      </c>
      <c r="E16" s="1">
        <v>44997</v>
      </c>
      <c r="F16">
        <v>2</v>
      </c>
      <c r="G16">
        <v>899</v>
      </c>
      <c r="H16" t="s">
        <v>34</v>
      </c>
      <c r="I16" t="s">
        <v>61</v>
      </c>
      <c r="J16">
        <v>1798</v>
      </c>
    </row>
    <row r="17" spans="1:10" x14ac:dyDescent="0.2">
      <c r="A17" t="s">
        <v>62</v>
      </c>
      <c r="B17" t="s">
        <v>63</v>
      </c>
      <c r="C17" t="s">
        <v>22</v>
      </c>
      <c r="D17" t="s">
        <v>64</v>
      </c>
      <c r="E17" s="1">
        <v>45012</v>
      </c>
      <c r="F17">
        <v>5</v>
      </c>
      <c r="G17">
        <v>1299</v>
      </c>
      <c r="H17" t="s">
        <v>45</v>
      </c>
      <c r="I17" t="s">
        <v>61</v>
      </c>
      <c r="J17">
        <v>6495</v>
      </c>
    </row>
    <row r="18" spans="1:10" x14ac:dyDescent="0.2">
      <c r="A18" t="s">
        <v>65</v>
      </c>
      <c r="B18" t="s">
        <v>66</v>
      </c>
      <c r="C18" t="s">
        <v>30</v>
      </c>
      <c r="D18" t="s">
        <v>64</v>
      </c>
      <c r="E18" s="1">
        <v>45025</v>
      </c>
      <c r="F18">
        <v>1</v>
      </c>
      <c r="G18">
        <v>1599</v>
      </c>
      <c r="H18" t="s">
        <v>14</v>
      </c>
      <c r="I18" t="s">
        <v>67</v>
      </c>
      <c r="J18">
        <v>1599</v>
      </c>
    </row>
    <row r="19" spans="1:10" x14ac:dyDescent="0.2">
      <c r="A19" t="s">
        <v>68</v>
      </c>
      <c r="B19" t="s">
        <v>69</v>
      </c>
      <c r="C19" t="s">
        <v>38</v>
      </c>
      <c r="D19" t="s">
        <v>13</v>
      </c>
      <c r="E19" s="1">
        <v>45040</v>
      </c>
      <c r="F19">
        <v>6</v>
      </c>
      <c r="G19">
        <v>79</v>
      </c>
      <c r="H19" t="s">
        <v>24</v>
      </c>
      <c r="I19" t="s">
        <v>67</v>
      </c>
      <c r="J19">
        <v>474</v>
      </c>
    </row>
    <row r="20" spans="1:10" x14ac:dyDescent="0.2">
      <c r="A20" t="s">
        <v>70</v>
      </c>
      <c r="B20" t="s">
        <v>71</v>
      </c>
      <c r="C20" t="s">
        <v>55</v>
      </c>
      <c r="D20" t="s">
        <v>23</v>
      </c>
      <c r="E20" s="1">
        <v>45057</v>
      </c>
      <c r="F20">
        <v>3</v>
      </c>
      <c r="G20">
        <v>149</v>
      </c>
      <c r="H20" t="s">
        <v>34</v>
      </c>
      <c r="I20" t="s">
        <v>67</v>
      </c>
      <c r="J20">
        <v>447</v>
      </c>
    </row>
    <row r="21" spans="1:10" x14ac:dyDescent="0.2">
      <c r="A21" t="s">
        <v>72</v>
      </c>
      <c r="B21" t="s">
        <v>73</v>
      </c>
      <c r="C21" t="s">
        <v>43</v>
      </c>
      <c r="D21" t="s">
        <v>33</v>
      </c>
      <c r="E21" s="1">
        <v>45075</v>
      </c>
      <c r="F21">
        <v>2</v>
      </c>
      <c r="G21">
        <v>249</v>
      </c>
      <c r="H21" t="s">
        <v>45</v>
      </c>
      <c r="I21" t="s">
        <v>15</v>
      </c>
      <c r="J21">
        <v>498</v>
      </c>
    </row>
    <row r="22" spans="1:10" x14ac:dyDescent="0.2">
      <c r="A22" t="s">
        <v>74</v>
      </c>
      <c r="B22" t="s">
        <v>75</v>
      </c>
      <c r="C22" t="s">
        <v>12</v>
      </c>
      <c r="D22" t="s">
        <v>44</v>
      </c>
      <c r="E22" s="1">
        <v>45090</v>
      </c>
      <c r="F22">
        <v>4</v>
      </c>
      <c r="G22">
        <v>399</v>
      </c>
      <c r="H22" t="s">
        <v>14</v>
      </c>
      <c r="I22" t="s">
        <v>25</v>
      </c>
      <c r="J22">
        <v>1596</v>
      </c>
    </row>
    <row r="23" spans="1:10" x14ac:dyDescent="0.2">
      <c r="A23" t="s">
        <v>76</v>
      </c>
      <c r="B23" t="s">
        <v>77</v>
      </c>
      <c r="C23" t="s">
        <v>22</v>
      </c>
      <c r="D23" t="s">
        <v>51</v>
      </c>
      <c r="E23" s="1">
        <v>45107</v>
      </c>
      <c r="F23">
        <v>1</v>
      </c>
      <c r="G23">
        <v>599</v>
      </c>
      <c r="H23" t="s">
        <v>24</v>
      </c>
      <c r="I23" t="s">
        <v>35</v>
      </c>
      <c r="J23">
        <v>599</v>
      </c>
    </row>
    <row r="24" spans="1:10" x14ac:dyDescent="0.2">
      <c r="A24" t="s">
        <v>78</v>
      </c>
      <c r="B24" t="s">
        <v>79</v>
      </c>
      <c r="C24" t="s">
        <v>30</v>
      </c>
      <c r="D24" t="s">
        <v>58</v>
      </c>
      <c r="E24" s="1">
        <v>45122</v>
      </c>
      <c r="F24">
        <v>2</v>
      </c>
      <c r="G24">
        <v>799</v>
      </c>
      <c r="H24" t="s">
        <v>34</v>
      </c>
      <c r="I24" t="s">
        <v>46</v>
      </c>
      <c r="J24">
        <v>1598</v>
      </c>
    </row>
    <row r="25" spans="1:10" x14ac:dyDescent="0.2">
      <c r="A25" t="s">
        <v>80</v>
      </c>
      <c r="B25" t="s">
        <v>81</v>
      </c>
      <c r="C25" t="s">
        <v>38</v>
      </c>
      <c r="D25" t="s">
        <v>64</v>
      </c>
      <c r="E25" s="1">
        <v>45138</v>
      </c>
      <c r="F25">
        <v>5</v>
      </c>
      <c r="G25">
        <v>999</v>
      </c>
      <c r="H25" t="s">
        <v>45</v>
      </c>
      <c r="I25" t="s">
        <v>52</v>
      </c>
      <c r="J25">
        <v>4995</v>
      </c>
    </row>
    <row r="26" spans="1:10" x14ac:dyDescent="0.2">
      <c r="A26" t="s">
        <v>82</v>
      </c>
      <c r="B26" t="s">
        <v>83</v>
      </c>
      <c r="C26" t="s">
        <v>55</v>
      </c>
      <c r="D26" t="s">
        <v>13</v>
      </c>
      <c r="E26" s="1">
        <v>45154</v>
      </c>
      <c r="F26">
        <v>3</v>
      </c>
      <c r="G26">
        <v>1199</v>
      </c>
      <c r="H26" t="s">
        <v>14</v>
      </c>
      <c r="I26" t="s">
        <v>61</v>
      </c>
      <c r="J26">
        <v>3597</v>
      </c>
    </row>
    <row r="27" spans="1:10" x14ac:dyDescent="0.2">
      <c r="A27" t="s">
        <v>84</v>
      </c>
      <c r="B27" t="s">
        <v>85</v>
      </c>
      <c r="C27" t="s">
        <v>43</v>
      </c>
      <c r="D27" t="s">
        <v>23</v>
      </c>
      <c r="E27" s="1">
        <v>45166</v>
      </c>
      <c r="F27">
        <v>1</v>
      </c>
      <c r="G27">
        <v>1499</v>
      </c>
      <c r="H27" t="s">
        <v>24</v>
      </c>
      <c r="I27" t="s">
        <v>67</v>
      </c>
      <c r="J27">
        <v>1499</v>
      </c>
    </row>
    <row r="28" spans="1:10" x14ac:dyDescent="0.2">
      <c r="A28" t="s">
        <v>86</v>
      </c>
      <c r="B28" t="s">
        <v>87</v>
      </c>
      <c r="C28" t="s">
        <v>12</v>
      </c>
      <c r="D28" t="s">
        <v>33</v>
      </c>
      <c r="E28" s="1">
        <v>45178</v>
      </c>
      <c r="F28">
        <v>4</v>
      </c>
      <c r="G28">
        <v>1999</v>
      </c>
      <c r="H28" t="s">
        <v>34</v>
      </c>
      <c r="I28" t="s">
        <v>15</v>
      </c>
      <c r="J28">
        <v>7996</v>
      </c>
    </row>
    <row r="29" spans="1:10" x14ac:dyDescent="0.2">
      <c r="A29" t="s">
        <v>88</v>
      </c>
      <c r="B29" t="s">
        <v>89</v>
      </c>
      <c r="C29" t="s">
        <v>22</v>
      </c>
      <c r="D29" t="s">
        <v>44</v>
      </c>
      <c r="E29" s="1">
        <v>45195</v>
      </c>
      <c r="F29">
        <v>2</v>
      </c>
      <c r="G29">
        <v>59</v>
      </c>
      <c r="H29" t="s">
        <v>45</v>
      </c>
      <c r="I29" t="s">
        <v>25</v>
      </c>
      <c r="J29">
        <v>118</v>
      </c>
    </row>
    <row r="30" spans="1:10" x14ac:dyDescent="0.2">
      <c r="A30" t="s">
        <v>90</v>
      </c>
      <c r="B30" t="s">
        <v>91</v>
      </c>
      <c r="C30" t="s">
        <v>30</v>
      </c>
      <c r="D30" t="s">
        <v>51</v>
      </c>
      <c r="E30" s="1">
        <v>45212</v>
      </c>
      <c r="F30">
        <v>6</v>
      </c>
      <c r="G30">
        <v>99</v>
      </c>
      <c r="H30" t="s">
        <v>14</v>
      </c>
      <c r="I30" t="s">
        <v>35</v>
      </c>
      <c r="J30">
        <v>594</v>
      </c>
    </row>
    <row r="31" spans="1:10" x14ac:dyDescent="0.2">
      <c r="A31" t="s">
        <v>92</v>
      </c>
      <c r="B31" t="s">
        <v>93</v>
      </c>
      <c r="C31" t="s">
        <v>38</v>
      </c>
      <c r="D31" t="s">
        <v>58</v>
      </c>
      <c r="E31" s="1">
        <v>45229</v>
      </c>
      <c r="F31">
        <v>1</v>
      </c>
      <c r="G31">
        <v>159</v>
      </c>
      <c r="H31" t="s">
        <v>24</v>
      </c>
      <c r="I31" t="s">
        <v>46</v>
      </c>
      <c r="J31">
        <v>159</v>
      </c>
    </row>
    <row r="32" spans="1:10" x14ac:dyDescent="0.2">
      <c r="A32" t="s">
        <v>94</v>
      </c>
      <c r="B32" t="s">
        <v>95</v>
      </c>
      <c r="C32" t="s">
        <v>55</v>
      </c>
      <c r="D32" t="s">
        <v>64</v>
      </c>
      <c r="E32" s="1">
        <v>45245</v>
      </c>
      <c r="F32">
        <v>3</v>
      </c>
      <c r="G32">
        <v>229</v>
      </c>
      <c r="H32" t="s">
        <v>34</v>
      </c>
      <c r="I32" t="s">
        <v>52</v>
      </c>
      <c r="J32">
        <v>687</v>
      </c>
    </row>
    <row r="33" spans="1:10" x14ac:dyDescent="0.2">
      <c r="A33" t="s">
        <v>96</v>
      </c>
      <c r="B33" t="s">
        <v>97</v>
      </c>
      <c r="C33" t="s">
        <v>43</v>
      </c>
      <c r="D33" t="s">
        <v>13</v>
      </c>
      <c r="E33" s="1">
        <v>45259</v>
      </c>
      <c r="F33">
        <v>5</v>
      </c>
      <c r="G33">
        <v>349</v>
      </c>
      <c r="H33" t="s">
        <v>45</v>
      </c>
      <c r="I33" t="s">
        <v>61</v>
      </c>
      <c r="J33">
        <v>1745</v>
      </c>
    </row>
    <row r="34" spans="1:10" x14ac:dyDescent="0.2">
      <c r="A34" t="s">
        <v>98</v>
      </c>
      <c r="B34" t="s">
        <v>99</v>
      </c>
      <c r="C34" t="s">
        <v>12</v>
      </c>
      <c r="D34" t="s">
        <v>23</v>
      </c>
      <c r="E34" s="1">
        <v>45268</v>
      </c>
      <c r="F34">
        <v>2</v>
      </c>
      <c r="G34">
        <v>449</v>
      </c>
      <c r="H34" t="s">
        <v>14</v>
      </c>
      <c r="I34" t="s">
        <v>67</v>
      </c>
      <c r="J34">
        <v>898</v>
      </c>
    </row>
    <row r="35" spans="1:10" x14ac:dyDescent="0.2">
      <c r="A35" t="s">
        <v>100</v>
      </c>
      <c r="B35" t="s">
        <v>101</v>
      </c>
      <c r="C35" t="s">
        <v>22</v>
      </c>
      <c r="D35" t="s">
        <v>33</v>
      </c>
      <c r="E35" s="1">
        <v>45282</v>
      </c>
      <c r="F35">
        <v>4</v>
      </c>
      <c r="G35">
        <v>549</v>
      </c>
      <c r="H35" t="s">
        <v>24</v>
      </c>
      <c r="I35" t="s">
        <v>15</v>
      </c>
      <c r="J35">
        <v>2196</v>
      </c>
    </row>
    <row r="36" spans="1:10" x14ac:dyDescent="0.2">
      <c r="A36" t="s">
        <v>102</v>
      </c>
      <c r="B36" t="s">
        <v>103</v>
      </c>
      <c r="C36" t="s">
        <v>30</v>
      </c>
      <c r="D36" t="s">
        <v>44</v>
      </c>
      <c r="E36" s="1">
        <v>45299</v>
      </c>
      <c r="F36">
        <v>1</v>
      </c>
      <c r="G36">
        <v>649</v>
      </c>
      <c r="H36" t="s">
        <v>34</v>
      </c>
      <c r="I36" t="s">
        <v>25</v>
      </c>
      <c r="J36">
        <v>649</v>
      </c>
    </row>
    <row r="37" spans="1:10" x14ac:dyDescent="0.2">
      <c r="A37" t="s">
        <v>104</v>
      </c>
      <c r="B37" t="s">
        <v>105</v>
      </c>
      <c r="C37" t="s">
        <v>38</v>
      </c>
      <c r="D37" t="s">
        <v>51</v>
      </c>
      <c r="E37" s="1">
        <v>45315</v>
      </c>
      <c r="F37">
        <v>2</v>
      </c>
      <c r="G37">
        <v>749</v>
      </c>
      <c r="H37" t="s">
        <v>45</v>
      </c>
      <c r="I37" t="s">
        <v>35</v>
      </c>
      <c r="J37">
        <v>1498</v>
      </c>
    </row>
    <row r="38" spans="1:10" x14ac:dyDescent="0.2">
      <c r="A38" t="s">
        <v>106</v>
      </c>
      <c r="B38" t="s">
        <v>107</v>
      </c>
      <c r="C38" t="s">
        <v>55</v>
      </c>
      <c r="D38" t="s">
        <v>58</v>
      </c>
      <c r="E38" s="1">
        <v>45331</v>
      </c>
      <c r="F38">
        <v>3</v>
      </c>
      <c r="G38">
        <v>849</v>
      </c>
      <c r="H38" t="s">
        <v>14</v>
      </c>
      <c r="I38" t="s">
        <v>46</v>
      </c>
      <c r="J38">
        <v>2547</v>
      </c>
    </row>
    <row r="39" spans="1:10" x14ac:dyDescent="0.2">
      <c r="A39" t="s">
        <v>108</v>
      </c>
      <c r="B39" t="s">
        <v>109</v>
      </c>
      <c r="C39" t="s">
        <v>43</v>
      </c>
      <c r="D39" t="s">
        <v>64</v>
      </c>
      <c r="E39" s="1">
        <v>45343</v>
      </c>
      <c r="F39">
        <v>6</v>
      </c>
      <c r="G39">
        <v>949</v>
      </c>
      <c r="H39" t="s">
        <v>24</v>
      </c>
      <c r="I39" t="s">
        <v>52</v>
      </c>
      <c r="J39">
        <v>5694</v>
      </c>
    </row>
    <row r="40" spans="1:10" x14ac:dyDescent="0.2">
      <c r="A40" t="s">
        <v>110</v>
      </c>
      <c r="B40" t="s">
        <v>111</v>
      </c>
      <c r="C40" t="s">
        <v>12</v>
      </c>
      <c r="D40" t="s">
        <v>13</v>
      </c>
      <c r="E40" s="1">
        <v>45357</v>
      </c>
      <c r="F40">
        <v>5</v>
      </c>
      <c r="G40">
        <v>1049</v>
      </c>
      <c r="H40" t="s">
        <v>34</v>
      </c>
      <c r="I40" t="s">
        <v>61</v>
      </c>
      <c r="J40">
        <v>5245</v>
      </c>
    </row>
    <row r="41" spans="1:10" x14ac:dyDescent="0.2">
      <c r="A41" t="s">
        <v>112</v>
      </c>
      <c r="B41" t="s">
        <v>113</v>
      </c>
      <c r="C41" t="s">
        <v>22</v>
      </c>
      <c r="D41" t="s">
        <v>23</v>
      </c>
      <c r="E41" s="1">
        <v>45370</v>
      </c>
      <c r="F41">
        <v>1</v>
      </c>
      <c r="G41">
        <v>1149</v>
      </c>
      <c r="H41" t="s">
        <v>45</v>
      </c>
      <c r="I41" t="s">
        <v>67</v>
      </c>
      <c r="J41">
        <v>1149</v>
      </c>
    </row>
    <row r="42" spans="1:10" x14ac:dyDescent="0.2">
      <c r="A42" t="s">
        <v>114</v>
      </c>
      <c r="B42" t="s">
        <v>115</v>
      </c>
      <c r="C42" t="s">
        <v>30</v>
      </c>
      <c r="D42" t="s">
        <v>33</v>
      </c>
      <c r="E42" s="1">
        <v>45385</v>
      </c>
      <c r="F42">
        <v>4</v>
      </c>
      <c r="G42">
        <v>1249</v>
      </c>
      <c r="H42" t="s">
        <v>14</v>
      </c>
      <c r="I42" t="s">
        <v>15</v>
      </c>
      <c r="J42">
        <v>4996</v>
      </c>
    </row>
    <row r="43" spans="1:10" x14ac:dyDescent="0.2">
      <c r="A43" t="s">
        <v>116</v>
      </c>
      <c r="B43" t="s">
        <v>117</v>
      </c>
      <c r="C43" t="s">
        <v>38</v>
      </c>
      <c r="D43" t="s">
        <v>44</v>
      </c>
      <c r="E43" s="1">
        <v>45399</v>
      </c>
      <c r="F43">
        <v>2</v>
      </c>
      <c r="G43">
        <v>1349</v>
      </c>
      <c r="H43" t="s">
        <v>24</v>
      </c>
      <c r="I43" t="s">
        <v>25</v>
      </c>
      <c r="J43">
        <v>2698</v>
      </c>
    </row>
    <row r="44" spans="1:10" x14ac:dyDescent="0.2">
      <c r="A44" t="s">
        <v>118</v>
      </c>
      <c r="B44" t="s">
        <v>119</v>
      </c>
      <c r="C44" t="s">
        <v>55</v>
      </c>
      <c r="D44" t="s">
        <v>51</v>
      </c>
      <c r="E44" s="1">
        <v>45414</v>
      </c>
      <c r="F44">
        <v>3</v>
      </c>
      <c r="G44">
        <v>1449</v>
      </c>
      <c r="H44" t="s">
        <v>34</v>
      </c>
      <c r="I44" t="s">
        <v>35</v>
      </c>
      <c r="J44">
        <v>4347</v>
      </c>
    </row>
    <row r="45" spans="1:10" x14ac:dyDescent="0.2">
      <c r="A45" t="s">
        <v>120</v>
      </c>
      <c r="B45" t="s">
        <v>121</v>
      </c>
      <c r="C45" t="s">
        <v>43</v>
      </c>
      <c r="D45" t="s">
        <v>58</v>
      </c>
      <c r="E45" s="1">
        <v>45428</v>
      </c>
      <c r="F45">
        <v>1</v>
      </c>
      <c r="G45">
        <v>1549</v>
      </c>
      <c r="H45" t="s">
        <v>45</v>
      </c>
      <c r="I45" t="s">
        <v>46</v>
      </c>
      <c r="J45">
        <v>1549</v>
      </c>
    </row>
    <row r="46" spans="1:10" x14ac:dyDescent="0.2">
      <c r="A46" t="s">
        <v>122</v>
      </c>
      <c r="B46" t="s">
        <v>123</v>
      </c>
      <c r="C46" t="s">
        <v>12</v>
      </c>
      <c r="D46" t="s">
        <v>64</v>
      </c>
      <c r="E46" s="1">
        <v>45444</v>
      </c>
      <c r="F46">
        <v>5</v>
      </c>
      <c r="G46">
        <v>1649</v>
      </c>
      <c r="H46" t="s">
        <v>14</v>
      </c>
      <c r="I46" t="s">
        <v>52</v>
      </c>
      <c r="J46">
        <v>8245</v>
      </c>
    </row>
    <row r="47" spans="1:10" x14ac:dyDescent="0.2">
      <c r="A47" t="s">
        <v>124</v>
      </c>
      <c r="B47" t="s">
        <v>125</v>
      </c>
      <c r="C47" t="s">
        <v>22</v>
      </c>
      <c r="D47" t="s">
        <v>13</v>
      </c>
      <c r="E47" s="1">
        <v>45461</v>
      </c>
      <c r="F47">
        <v>6</v>
      </c>
      <c r="G47">
        <v>1749</v>
      </c>
      <c r="H47" t="s">
        <v>24</v>
      </c>
      <c r="I47" t="s">
        <v>61</v>
      </c>
      <c r="J47">
        <v>10494</v>
      </c>
    </row>
    <row r="48" spans="1:10" x14ac:dyDescent="0.2">
      <c r="A48" t="s">
        <v>126</v>
      </c>
      <c r="B48" t="s">
        <v>127</v>
      </c>
      <c r="C48" t="s">
        <v>30</v>
      </c>
      <c r="D48" t="s">
        <v>23</v>
      </c>
      <c r="E48" s="1">
        <v>45477</v>
      </c>
      <c r="F48">
        <v>2</v>
      </c>
      <c r="G48">
        <v>1849</v>
      </c>
      <c r="H48" t="s">
        <v>34</v>
      </c>
      <c r="I48" t="s">
        <v>67</v>
      </c>
      <c r="J48">
        <v>3698</v>
      </c>
    </row>
    <row r="49" spans="1:10" x14ac:dyDescent="0.2">
      <c r="A49" t="s">
        <v>128</v>
      </c>
      <c r="B49" t="s">
        <v>129</v>
      </c>
      <c r="C49" t="s">
        <v>38</v>
      </c>
      <c r="D49" t="s">
        <v>33</v>
      </c>
      <c r="E49" s="1">
        <v>45492</v>
      </c>
      <c r="F49">
        <v>4</v>
      </c>
      <c r="G49">
        <v>1949</v>
      </c>
      <c r="H49" t="s">
        <v>45</v>
      </c>
      <c r="I49" t="s">
        <v>15</v>
      </c>
      <c r="J49">
        <v>7796</v>
      </c>
    </row>
    <row r="50" spans="1:10" x14ac:dyDescent="0.2">
      <c r="A50" t="s">
        <v>130</v>
      </c>
      <c r="B50" t="s">
        <v>131</v>
      </c>
      <c r="C50" t="s">
        <v>55</v>
      </c>
      <c r="D50" t="s">
        <v>44</v>
      </c>
      <c r="E50" s="1">
        <v>45509</v>
      </c>
      <c r="F50">
        <v>1</v>
      </c>
      <c r="G50">
        <v>2049</v>
      </c>
      <c r="H50" t="s">
        <v>14</v>
      </c>
      <c r="I50" t="s">
        <v>25</v>
      </c>
      <c r="J50">
        <v>2049</v>
      </c>
    </row>
    <row r="51" spans="1:10" x14ac:dyDescent="0.2">
      <c r="A51" t="s">
        <v>132</v>
      </c>
      <c r="B51" t="s">
        <v>133</v>
      </c>
      <c r="C51" t="s">
        <v>43</v>
      </c>
      <c r="D51" t="s">
        <v>51</v>
      </c>
      <c r="E51" s="1">
        <v>45525</v>
      </c>
      <c r="F51">
        <v>3</v>
      </c>
      <c r="G51">
        <v>2149</v>
      </c>
      <c r="H51" t="s">
        <v>24</v>
      </c>
      <c r="I51" t="s">
        <v>35</v>
      </c>
      <c r="J51">
        <v>6447</v>
      </c>
    </row>
    <row r="52" spans="1:10" x14ac:dyDescent="0.2">
      <c r="A52" t="s">
        <v>134</v>
      </c>
      <c r="B52" t="s">
        <v>135</v>
      </c>
      <c r="C52" t="s">
        <v>12</v>
      </c>
      <c r="D52" t="s">
        <v>58</v>
      </c>
      <c r="E52" s="1">
        <v>45538</v>
      </c>
      <c r="F52">
        <v>2</v>
      </c>
      <c r="G52">
        <v>2249</v>
      </c>
      <c r="H52" t="s">
        <v>34</v>
      </c>
      <c r="I52" t="s">
        <v>46</v>
      </c>
      <c r="J52">
        <v>4498</v>
      </c>
    </row>
    <row r="53" spans="1:10" x14ac:dyDescent="0.2">
      <c r="A53" t="s">
        <v>136</v>
      </c>
      <c r="B53" t="s">
        <v>137</v>
      </c>
      <c r="C53" t="s">
        <v>22</v>
      </c>
      <c r="D53" t="s">
        <v>64</v>
      </c>
      <c r="E53" s="1">
        <v>45553</v>
      </c>
      <c r="F53">
        <v>5</v>
      </c>
      <c r="G53">
        <v>2349</v>
      </c>
      <c r="H53" t="s">
        <v>45</v>
      </c>
      <c r="I53" t="s">
        <v>52</v>
      </c>
      <c r="J53">
        <v>11745</v>
      </c>
    </row>
    <row r="54" spans="1:10" x14ac:dyDescent="0.2">
      <c r="A54" t="s">
        <v>138</v>
      </c>
      <c r="B54" t="s">
        <v>139</v>
      </c>
      <c r="C54" t="s">
        <v>30</v>
      </c>
      <c r="D54" t="s">
        <v>13</v>
      </c>
      <c r="E54" s="1">
        <v>45569</v>
      </c>
      <c r="F54">
        <v>4</v>
      </c>
      <c r="G54">
        <v>2449</v>
      </c>
      <c r="H54" t="s">
        <v>14</v>
      </c>
      <c r="I54" t="s">
        <v>61</v>
      </c>
      <c r="J54">
        <v>9796</v>
      </c>
    </row>
    <row r="55" spans="1:10" x14ac:dyDescent="0.2">
      <c r="A55" t="s">
        <v>140</v>
      </c>
      <c r="B55" t="s">
        <v>141</v>
      </c>
      <c r="C55" t="s">
        <v>38</v>
      </c>
      <c r="D55" t="s">
        <v>23</v>
      </c>
      <c r="E55" s="1">
        <v>45585</v>
      </c>
      <c r="F55">
        <v>1</v>
      </c>
      <c r="G55">
        <v>2549</v>
      </c>
      <c r="H55" t="s">
        <v>24</v>
      </c>
      <c r="I55" t="s">
        <v>67</v>
      </c>
      <c r="J55">
        <v>2549</v>
      </c>
    </row>
    <row r="56" spans="1:10" x14ac:dyDescent="0.2">
      <c r="A56" t="s">
        <v>142</v>
      </c>
      <c r="B56" t="s">
        <v>143</v>
      </c>
      <c r="C56" t="s">
        <v>55</v>
      </c>
      <c r="D56" t="s">
        <v>33</v>
      </c>
      <c r="E56" s="1">
        <v>45601</v>
      </c>
      <c r="F56">
        <v>6</v>
      </c>
      <c r="G56">
        <v>2649</v>
      </c>
      <c r="H56" t="s">
        <v>34</v>
      </c>
      <c r="I56" t="s">
        <v>15</v>
      </c>
      <c r="J56">
        <v>15894</v>
      </c>
    </row>
    <row r="57" spans="1:10" x14ac:dyDescent="0.2">
      <c r="A57" t="s">
        <v>144</v>
      </c>
      <c r="B57" t="s">
        <v>145</v>
      </c>
      <c r="C57" t="s">
        <v>43</v>
      </c>
      <c r="D57" t="s">
        <v>44</v>
      </c>
      <c r="E57" s="1">
        <v>45618</v>
      </c>
      <c r="F57">
        <v>3</v>
      </c>
      <c r="G57">
        <v>2749</v>
      </c>
      <c r="H57" t="s">
        <v>45</v>
      </c>
      <c r="I57" t="s">
        <v>25</v>
      </c>
      <c r="J57">
        <v>8247</v>
      </c>
    </row>
    <row r="58" spans="1:10" x14ac:dyDescent="0.2">
      <c r="A58" t="s">
        <v>146</v>
      </c>
      <c r="B58" t="s">
        <v>147</v>
      </c>
      <c r="C58" t="s">
        <v>12</v>
      </c>
      <c r="D58" t="s">
        <v>51</v>
      </c>
      <c r="E58" s="1">
        <v>45632</v>
      </c>
      <c r="F58">
        <v>2</v>
      </c>
      <c r="G58">
        <v>2849</v>
      </c>
      <c r="H58" t="s">
        <v>14</v>
      </c>
      <c r="I58" t="s">
        <v>35</v>
      </c>
      <c r="J58">
        <v>5698</v>
      </c>
    </row>
    <row r="59" spans="1:10" x14ac:dyDescent="0.2">
      <c r="A59" t="s">
        <v>148</v>
      </c>
      <c r="B59" t="s">
        <v>149</v>
      </c>
      <c r="C59" t="s">
        <v>22</v>
      </c>
      <c r="D59" t="s">
        <v>58</v>
      </c>
      <c r="E59" s="1">
        <v>45645</v>
      </c>
      <c r="F59">
        <v>4</v>
      </c>
      <c r="G59">
        <v>2949</v>
      </c>
      <c r="H59" t="s">
        <v>24</v>
      </c>
      <c r="I59" t="s">
        <v>46</v>
      </c>
      <c r="J59">
        <v>11796</v>
      </c>
    </row>
    <row r="60" spans="1:10" x14ac:dyDescent="0.2">
      <c r="A60" t="s">
        <v>150</v>
      </c>
      <c r="B60" t="s">
        <v>151</v>
      </c>
      <c r="C60" t="s">
        <v>30</v>
      </c>
      <c r="D60" t="s">
        <v>64</v>
      </c>
      <c r="E60" s="1">
        <v>45664</v>
      </c>
      <c r="F60">
        <v>5</v>
      </c>
      <c r="G60">
        <v>3049</v>
      </c>
      <c r="H60" t="s">
        <v>34</v>
      </c>
      <c r="I60" t="s">
        <v>52</v>
      </c>
      <c r="J60">
        <v>15245</v>
      </c>
    </row>
    <row r="61" spans="1:10" x14ac:dyDescent="0.2">
      <c r="A61" t="s">
        <v>152</v>
      </c>
      <c r="B61" t="s">
        <v>153</v>
      </c>
      <c r="C61" t="s">
        <v>38</v>
      </c>
      <c r="D61" t="s">
        <v>13</v>
      </c>
      <c r="E61" s="1">
        <v>45680</v>
      </c>
      <c r="F61">
        <v>1</v>
      </c>
      <c r="G61">
        <v>3149</v>
      </c>
      <c r="H61" t="s">
        <v>45</v>
      </c>
      <c r="I61" t="s">
        <v>61</v>
      </c>
      <c r="J61">
        <v>3149</v>
      </c>
    </row>
    <row r="62" spans="1:10" x14ac:dyDescent="0.2">
      <c r="A62" t="s">
        <v>154</v>
      </c>
      <c r="B62" t="s">
        <v>155</v>
      </c>
      <c r="C62" t="s">
        <v>55</v>
      </c>
      <c r="D62" t="s">
        <v>23</v>
      </c>
      <c r="E62" s="1">
        <v>45696</v>
      </c>
      <c r="F62">
        <v>2</v>
      </c>
      <c r="G62">
        <v>3249</v>
      </c>
      <c r="H62" t="s">
        <v>14</v>
      </c>
      <c r="I62" t="s">
        <v>67</v>
      </c>
      <c r="J62">
        <v>6498</v>
      </c>
    </row>
    <row r="63" spans="1:10" x14ac:dyDescent="0.2">
      <c r="A63" t="s">
        <v>156</v>
      </c>
      <c r="B63" t="s">
        <v>157</v>
      </c>
      <c r="C63" t="s">
        <v>43</v>
      </c>
      <c r="D63" t="s">
        <v>33</v>
      </c>
      <c r="E63" s="1">
        <v>45712</v>
      </c>
      <c r="F63">
        <v>3</v>
      </c>
      <c r="G63">
        <v>3349</v>
      </c>
      <c r="H63" t="s">
        <v>24</v>
      </c>
      <c r="I63" t="s">
        <v>15</v>
      </c>
      <c r="J63">
        <v>10047</v>
      </c>
    </row>
    <row r="64" spans="1:10" x14ac:dyDescent="0.2">
      <c r="A64" t="s">
        <v>158</v>
      </c>
      <c r="B64" t="s">
        <v>159</v>
      </c>
      <c r="C64" t="s">
        <v>12</v>
      </c>
      <c r="D64" t="s">
        <v>44</v>
      </c>
      <c r="E64" s="1">
        <v>45727</v>
      </c>
      <c r="F64">
        <v>6</v>
      </c>
      <c r="G64">
        <v>3449</v>
      </c>
      <c r="H64" t="s">
        <v>34</v>
      </c>
      <c r="I64" t="s">
        <v>25</v>
      </c>
      <c r="J64">
        <v>20694</v>
      </c>
    </row>
    <row r="65" spans="1:10" x14ac:dyDescent="0.2">
      <c r="A65" t="s">
        <v>160</v>
      </c>
      <c r="B65" t="s">
        <v>161</v>
      </c>
      <c r="C65" t="s">
        <v>22</v>
      </c>
      <c r="D65" t="s">
        <v>51</v>
      </c>
      <c r="E65" s="1">
        <v>45743</v>
      </c>
      <c r="F65">
        <v>4</v>
      </c>
      <c r="G65">
        <v>3549</v>
      </c>
      <c r="H65" t="s">
        <v>45</v>
      </c>
      <c r="I65" t="s">
        <v>35</v>
      </c>
      <c r="J65">
        <v>14196</v>
      </c>
    </row>
    <row r="66" spans="1:10" x14ac:dyDescent="0.2">
      <c r="A66" t="s">
        <v>162</v>
      </c>
      <c r="B66" t="s">
        <v>163</v>
      </c>
      <c r="C66" t="s">
        <v>30</v>
      </c>
      <c r="D66" t="s">
        <v>58</v>
      </c>
      <c r="E66" s="1">
        <v>45757</v>
      </c>
      <c r="F66">
        <v>1</v>
      </c>
      <c r="G66">
        <v>3649</v>
      </c>
      <c r="H66" t="s">
        <v>14</v>
      </c>
      <c r="I66" t="s">
        <v>46</v>
      </c>
      <c r="J66">
        <v>3649</v>
      </c>
    </row>
    <row r="67" spans="1:10" x14ac:dyDescent="0.2">
      <c r="A67" t="s">
        <v>164</v>
      </c>
      <c r="B67" t="s">
        <v>165</v>
      </c>
      <c r="C67" t="s">
        <v>38</v>
      </c>
      <c r="D67" t="s">
        <v>64</v>
      </c>
      <c r="E67" s="1">
        <v>45772</v>
      </c>
      <c r="F67">
        <v>5</v>
      </c>
      <c r="G67">
        <v>3749</v>
      </c>
      <c r="H67" t="s">
        <v>24</v>
      </c>
      <c r="I67" t="s">
        <v>52</v>
      </c>
      <c r="J67">
        <v>18745</v>
      </c>
    </row>
    <row r="68" spans="1:10" x14ac:dyDescent="0.2">
      <c r="A68" t="s">
        <v>166</v>
      </c>
      <c r="B68" t="s">
        <v>167</v>
      </c>
      <c r="C68" t="s">
        <v>55</v>
      </c>
      <c r="D68" t="s">
        <v>13</v>
      </c>
      <c r="E68" s="1">
        <v>45786</v>
      </c>
      <c r="F68">
        <v>2</v>
      </c>
      <c r="G68">
        <v>3849</v>
      </c>
      <c r="H68" t="s">
        <v>34</v>
      </c>
      <c r="I68" t="s">
        <v>61</v>
      </c>
      <c r="J68">
        <v>7698</v>
      </c>
    </row>
    <row r="69" spans="1:10" x14ac:dyDescent="0.2">
      <c r="A69" t="s">
        <v>168</v>
      </c>
      <c r="B69" t="s">
        <v>169</v>
      </c>
      <c r="C69" t="s">
        <v>43</v>
      </c>
      <c r="D69" t="s">
        <v>23</v>
      </c>
      <c r="E69" s="1">
        <v>45803</v>
      </c>
      <c r="F69">
        <v>3</v>
      </c>
      <c r="G69">
        <v>3949</v>
      </c>
      <c r="H69" t="s">
        <v>45</v>
      </c>
      <c r="I69" t="s">
        <v>67</v>
      </c>
      <c r="J69">
        <v>11847</v>
      </c>
    </row>
    <row r="70" spans="1:10" x14ac:dyDescent="0.2">
      <c r="A70" t="s">
        <v>170</v>
      </c>
      <c r="B70" t="s">
        <v>171</v>
      </c>
      <c r="C70" t="s">
        <v>12</v>
      </c>
      <c r="D70" t="s">
        <v>33</v>
      </c>
      <c r="E70" s="1">
        <v>45820</v>
      </c>
      <c r="F70">
        <v>4</v>
      </c>
      <c r="G70">
        <v>4049</v>
      </c>
      <c r="H70" t="s">
        <v>14</v>
      </c>
      <c r="I70" t="s">
        <v>15</v>
      </c>
      <c r="J70">
        <v>16196</v>
      </c>
    </row>
    <row r="71" spans="1:10" x14ac:dyDescent="0.2">
      <c r="A71" t="s">
        <v>172</v>
      </c>
      <c r="B71" t="s">
        <v>173</v>
      </c>
      <c r="C71" t="s">
        <v>22</v>
      </c>
      <c r="D71" t="s">
        <v>44</v>
      </c>
      <c r="E71" s="1">
        <v>45838</v>
      </c>
      <c r="F71">
        <v>1</v>
      </c>
      <c r="G71">
        <v>4149</v>
      </c>
      <c r="H71" t="s">
        <v>24</v>
      </c>
      <c r="I71" t="s">
        <v>25</v>
      </c>
      <c r="J71">
        <v>4149</v>
      </c>
    </row>
    <row r="72" spans="1:10" x14ac:dyDescent="0.2">
      <c r="A72" t="s">
        <v>174</v>
      </c>
      <c r="B72" t="s">
        <v>175</v>
      </c>
      <c r="C72" t="s">
        <v>30</v>
      </c>
      <c r="D72" t="s">
        <v>51</v>
      </c>
      <c r="E72" s="1">
        <v>45852</v>
      </c>
      <c r="F72">
        <v>6</v>
      </c>
      <c r="G72">
        <v>4249</v>
      </c>
      <c r="H72" t="s">
        <v>34</v>
      </c>
      <c r="I72" t="s">
        <v>35</v>
      </c>
      <c r="J72">
        <v>25494</v>
      </c>
    </row>
    <row r="73" spans="1:10" x14ac:dyDescent="0.2">
      <c r="A73" t="s">
        <v>176</v>
      </c>
      <c r="B73" t="s">
        <v>177</v>
      </c>
      <c r="C73" t="s">
        <v>38</v>
      </c>
      <c r="D73" t="s">
        <v>58</v>
      </c>
      <c r="E73" s="1">
        <v>45867</v>
      </c>
      <c r="F73">
        <v>2</v>
      </c>
      <c r="G73">
        <v>4349</v>
      </c>
      <c r="H73" t="s">
        <v>45</v>
      </c>
      <c r="I73" t="s">
        <v>46</v>
      </c>
      <c r="J73">
        <v>8698</v>
      </c>
    </row>
    <row r="74" spans="1:10" x14ac:dyDescent="0.2">
      <c r="A74" t="s">
        <v>178</v>
      </c>
      <c r="B74" t="s">
        <v>179</v>
      </c>
      <c r="C74" t="s">
        <v>55</v>
      </c>
      <c r="D74" t="s">
        <v>64</v>
      </c>
      <c r="E74" s="1">
        <v>45882</v>
      </c>
      <c r="F74">
        <v>5</v>
      </c>
      <c r="G74">
        <v>4449</v>
      </c>
      <c r="H74" t="s">
        <v>14</v>
      </c>
      <c r="I74" t="s">
        <v>52</v>
      </c>
      <c r="J74">
        <v>22245</v>
      </c>
    </row>
    <row r="75" spans="1:10" x14ac:dyDescent="0.2">
      <c r="A75" t="s">
        <v>180</v>
      </c>
      <c r="B75" t="s">
        <v>181</v>
      </c>
      <c r="C75" t="s">
        <v>43</v>
      </c>
      <c r="D75" t="s">
        <v>13</v>
      </c>
      <c r="E75" s="1">
        <v>45897</v>
      </c>
      <c r="F75">
        <v>3</v>
      </c>
      <c r="G75">
        <v>4549</v>
      </c>
      <c r="H75" t="s">
        <v>24</v>
      </c>
      <c r="I75" t="s">
        <v>61</v>
      </c>
      <c r="J75">
        <v>13647</v>
      </c>
    </row>
    <row r="76" spans="1:10" x14ac:dyDescent="0.2">
      <c r="A76" t="s">
        <v>182</v>
      </c>
      <c r="B76" t="s">
        <v>183</v>
      </c>
      <c r="C76" t="s">
        <v>12</v>
      </c>
      <c r="D76" t="s">
        <v>23</v>
      </c>
      <c r="E76" s="1">
        <v>45910</v>
      </c>
      <c r="F76">
        <v>1</v>
      </c>
      <c r="G76">
        <v>4649</v>
      </c>
      <c r="H76" t="s">
        <v>34</v>
      </c>
      <c r="I76" t="s">
        <v>67</v>
      </c>
      <c r="J76">
        <v>4649</v>
      </c>
    </row>
    <row r="77" spans="1:10" x14ac:dyDescent="0.2">
      <c r="A77" t="s">
        <v>184</v>
      </c>
      <c r="B77" t="s">
        <v>185</v>
      </c>
      <c r="C77" t="s">
        <v>22</v>
      </c>
      <c r="D77" t="s">
        <v>33</v>
      </c>
      <c r="E77" s="1">
        <v>45926</v>
      </c>
      <c r="F77">
        <v>4</v>
      </c>
      <c r="G77">
        <v>4749</v>
      </c>
      <c r="H77" t="s">
        <v>45</v>
      </c>
      <c r="I77" t="s">
        <v>15</v>
      </c>
      <c r="J77">
        <v>18996</v>
      </c>
    </row>
    <row r="78" spans="1:10" x14ac:dyDescent="0.2">
      <c r="A78" t="s">
        <v>186</v>
      </c>
      <c r="B78" t="s">
        <v>187</v>
      </c>
      <c r="C78" t="s">
        <v>30</v>
      </c>
      <c r="D78" t="s">
        <v>44</v>
      </c>
      <c r="E78" s="1">
        <v>45938</v>
      </c>
      <c r="F78">
        <v>2</v>
      </c>
      <c r="G78">
        <v>4849</v>
      </c>
      <c r="H78" t="s">
        <v>14</v>
      </c>
      <c r="I78" t="s">
        <v>25</v>
      </c>
      <c r="J78">
        <v>9698</v>
      </c>
    </row>
    <row r="79" spans="1:10" x14ac:dyDescent="0.2">
      <c r="A79" t="s">
        <v>188</v>
      </c>
      <c r="B79" t="s">
        <v>189</v>
      </c>
      <c r="C79" t="s">
        <v>38</v>
      </c>
      <c r="D79" t="s">
        <v>51</v>
      </c>
      <c r="E79" s="1">
        <v>45953</v>
      </c>
      <c r="F79">
        <v>6</v>
      </c>
      <c r="G79">
        <v>4949</v>
      </c>
      <c r="H79" t="s">
        <v>24</v>
      </c>
      <c r="I79" t="s">
        <v>35</v>
      </c>
      <c r="J79">
        <v>29694</v>
      </c>
    </row>
    <row r="80" spans="1:10" x14ac:dyDescent="0.2">
      <c r="A80" t="s">
        <v>190</v>
      </c>
      <c r="B80" t="s">
        <v>191</v>
      </c>
      <c r="C80" t="s">
        <v>55</v>
      </c>
      <c r="D80" t="s">
        <v>58</v>
      </c>
      <c r="E80" s="1">
        <v>45967</v>
      </c>
      <c r="F80">
        <v>5</v>
      </c>
      <c r="G80">
        <v>5049</v>
      </c>
      <c r="H80" t="s">
        <v>34</v>
      </c>
      <c r="I80" t="s">
        <v>46</v>
      </c>
      <c r="J80">
        <v>25245</v>
      </c>
    </row>
    <row r="81" spans="1:10" x14ac:dyDescent="0.2">
      <c r="A81" t="s">
        <v>192</v>
      </c>
      <c r="B81" t="s">
        <v>193</v>
      </c>
      <c r="C81" t="s">
        <v>43</v>
      </c>
      <c r="D81" t="s">
        <v>64</v>
      </c>
      <c r="E81" s="1">
        <v>45982</v>
      </c>
      <c r="F81">
        <v>1</v>
      </c>
      <c r="G81">
        <v>5149</v>
      </c>
      <c r="H81" t="s">
        <v>45</v>
      </c>
      <c r="I81" t="s">
        <v>52</v>
      </c>
      <c r="J81">
        <v>5149</v>
      </c>
    </row>
    <row r="82" spans="1:10" x14ac:dyDescent="0.2">
      <c r="A82" t="s">
        <v>194</v>
      </c>
      <c r="B82" t="s">
        <v>195</v>
      </c>
      <c r="C82" t="s">
        <v>12</v>
      </c>
      <c r="D82" t="s">
        <v>13</v>
      </c>
      <c r="E82" s="1">
        <v>45996</v>
      </c>
      <c r="F82">
        <v>3</v>
      </c>
      <c r="G82">
        <v>5249</v>
      </c>
      <c r="H82" t="s">
        <v>14</v>
      </c>
      <c r="I82" t="s">
        <v>61</v>
      </c>
      <c r="J82">
        <v>15747</v>
      </c>
    </row>
    <row r="83" spans="1:10" x14ac:dyDescent="0.2">
      <c r="A83" t="s">
        <v>196</v>
      </c>
      <c r="B83" t="s">
        <v>197</v>
      </c>
      <c r="C83" t="s">
        <v>22</v>
      </c>
      <c r="D83" t="s">
        <v>23</v>
      </c>
      <c r="E83" s="1">
        <v>46009</v>
      </c>
      <c r="F83">
        <v>2</v>
      </c>
      <c r="G83">
        <v>5349</v>
      </c>
      <c r="H83" t="s">
        <v>24</v>
      </c>
      <c r="I83" t="s">
        <v>67</v>
      </c>
      <c r="J83">
        <v>10698</v>
      </c>
    </row>
    <row r="84" spans="1:10" x14ac:dyDescent="0.2">
      <c r="A84" t="s">
        <v>198</v>
      </c>
      <c r="B84" t="s">
        <v>199</v>
      </c>
      <c r="C84" t="s">
        <v>30</v>
      </c>
      <c r="D84" t="s">
        <v>33</v>
      </c>
      <c r="E84" s="1">
        <v>44944</v>
      </c>
      <c r="F84">
        <v>4</v>
      </c>
      <c r="G84">
        <v>5449</v>
      </c>
      <c r="H84" t="s">
        <v>34</v>
      </c>
      <c r="I84" t="s">
        <v>15</v>
      </c>
      <c r="J84">
        <v>21796</v>
      </c>
    </row>
    <row r="85" spans="1:10" x14ac:dyDescent="0.2">
      <c r="A85" t="s">
        <v>200</v>
      </c>
      <c r="B85" t="s">
        <v>201</v>
      </c>
      <c r="C85" t="s">
        <v>38</v>
      </c>
      <c r="D85" t="s">
        <v>44</v>
      </c>
      <c r="E85" s="1">
        <v>44962</v>
      </c>
      <c r="F85">
        <v>1</v>
      </c>
      <c r="G85">
        <v>5549</v>
      </c>
      <c r="H85" t="s">
        <v>45</v>
      </c>
      <c r="I85" t="s">
        <v>25</v>
      </c>
      <c r="J85">
        <v>5549</v>
      </c>
    </row>
    <row r="86" spans="1:10" x14ac:dyDescent="0.2">
      <c r="A86" t="s">
        <v>202</v>
      </c>
      <c r="B86" t="s">
        <v>203</v>
      </c>
      <c r="C86" t="s">
        <v>55</v>
      </c>
      <c r="D86" t="s">
        <v>51</v>
      </c>
      <c r="E86" s="1">
        <v>45006</v>
      </c>
      <c r="F86">
        <v>5</v>
      </c>
      <c r="G86">
        <v>5649</v>
      </c>
      <c r="H86" t="s">
        <v>14</v>
      </c>
      <c r="I86" t="s">
        <v>35</v>
      </c>
      <c r="J86">
        <v>28245</v>
      </c>
    </row>
    <row r="87" spans="1:10" x14ac:dyDescent="0.2">
      <c r="A87" t="s">
        <v>204</v>
      </c>
      <c r="B87" t="s">
        <v>205</v>
      </c>
      <c r="C87" t="s">
        <v>43</v>
      </c>
      <c r="D87" t="s">
        <v>58</v>
      </c>
      <c r="E87" s="1">
        <v>45030</v>
      </c>
      <c r="F87">
        <v>6</v>
      </c>
      <c r="G87">
        <v>5749</v>
      </c>
      <c r="H87" t="s">
        <v>24</v>
      </c>
      <c r="I87" t="s">
        <v>46</v>
      </c>
      <c r="J87">
        <v>34494</v>
      </c>
    </row>
    <row r="88" spans="1:10" x14ac:dyDescent="0.2">
      <c r="A88" t="s">
        <v>206</v>
      </c>
      <c r="B88" t="s">
        <v>207</v>
      </c>
      <c r="C88" t="s">
        <v>12</v>
      </c>
      <c r="D88" t="s">
        <v>64</v>
      </c>
      <c r="E88" s="1">
        <v>45070</v>
      </c>
      <c r="F88">
        <v>2</v>
      </c>
      <c r="G88">
        <v>5849</v>
      </c>
      <c r="H88" t="s">
        <v>34</v>
      </c>
      <c r="I88" t="s">
        <v>52</v>
      </c>
      <c r="J88">
        <v>11698</v>
      </c>
    </row>
    <row r="89" spans="1:10" x14ac:dyDescent="0.2">
      <c r="A89" t="s">
        <v>208</v>
      </c>
      <c r="B89" t="s">
        <v>209</v>
      </c>
      <c r="C89" t="s">
        <v>22</v>
      </c>
      <c r="D89" t="s">
        <v>13</v>
      </c>
      <c r="E89" s="1">
        <v>45084</v>
      </c>
      <c r="F89">
        <v>3</v>
      </c>
      <c r="G89">
        <v>5949</v>
      </c>
      <c r="H89" t="s">
        <v>45</v>
      </c>
      <c r="I89" t="s">
        <v>61</v>
      </c>
      <c r="J89">
        <v>17847</v>
      </c>
    </row>
    <row r="90" spans="1:10" x14ac:dyDescent="0.2">
      <c r="A90" t="s">
        <v>210</v>
      </c>
      <c r="B90" t="s">
        <v>211</v>
      </c>
      <c r="C90" t="s">
        <v>30</v>
      </c>
      <c r="D90" t="s">
        <v>23</v>
      </c>
      <c r="E90" s="1">
        <v>45118</v>
      </c>
      <c r="F90">
        <v>4</v>
      </c>
      <c r="G90">
        <v>6049</v>
      </c>
      <c r="H90" t="s">
        <v>14</v>
      </c>
      <c r="I90" t="s">
        <v>67</v>
      </c>
      <c r="J90">
        <v>24196</v>
      </c>
    </row>
    <row r="91" spans="1:10" x14ac:dyDescent="0.2">
      <c r="A91" t="s">
        <v>212</v>
      </c>
      <c r="B91" t="s">
        <v>213</v>
      </c>
      <c r="C91" t="s">
        <v>38</v>
      </c>
      <c r="D91" t="s">
        <v>33</v>
      </c>
      <c r="E91" s="1">
        <v>45140</v>
      </c>
      <c r="F91">
        <v>1</v>
      </c>
      <c r="G91">
        <v>6149</v>
      </c>
      <c r="H91" t="s">
        <v>24</v>
      </c>
      <c r="I91" t="s">
        <v>15</v>
      </c>
      <c r="J91">
        <v>6149</v>
      </c>
    </row>
    <row r="92" spans="1:10" x14ac:dyDescent="0.2">
      <c r="A92" t="s">
        <v>214</v>
      </c>
      <c r="B92" t="s">
        <v>215</v>
      </c>
      <c r="C92" t="s">
        <v>55</v>
      </c>
      <c r="D92" t="s">
        <v>44</v>
      </c>
      <c r="E92" s="1">
        <v>45188</v>
      </c>
      <c r="F92">
        <v>2</v>
      </c>
      <c r="G92">
        <v>6249</v>
      </c>
      <c r="H92" t="s">
        <v>34</v>
      </c>
      <c r="I92" t="s">
        <v>25</v>
      </c>
      <c r="J92">
        <v>12498</v>
      </c>
    </row>
    <row r="93" spans="1:10" x14ac:dyDescent="0.2">
      <c r="A93" t="s">
        <v>216</v>
      </c>
      <c r="B93" t="s">
        <v>217</v>
      </c>
      <c r="C93" t="s">
        <v>43</v>
      </c>
      <c r="D93" t="s">
        <v>51</v>
      </c>
      <c r="E93" s="1">
        <v>45206</v>
      </c>
      <c r="F93">
        <v>5</v>
      </c>
      <c r="G93">
        <v>6349</v>
      </c>
      <c r="H93" t="s">
        <v>45</v>
      </c>
      <c r="I93" t="s">
        <v>35</v>
      </c>
      <c r="J93">
        <v>31745</v>
      </c>
    </row>
    <row r="94" spans="1:10" x14ac:dyDescent="0.2">
      <c r="A94" t="s">
        <v>218</v>
      </c>
      <c r="B94" t="s">
        <v>219</v>
      </c>
      <c r="C94" t="s">
        <v>12</v>
      </c>
      <c r="D94" t="s">
        <v>58</v>
      </c>
      <c r="E94" s="1">
        <v>45233</v>
      </c>
      <c r="F94">
        <v>3</v>
      </c>
      <c r="G94">
        <v>6449</v>
      </c>
      <c r="H94" t="s">
        <v>14</v>
      </c>
      <c r="I94" t="s">
        <v>46</v>
      </c>
      <c r="J94">
        <v>19347</v>
      </c>
    </row>
    <row r="95" spans="1:10" x14ac:dyDescent="0.2">
      <c r="A95" t="s">
        <v>220</v>
      </c>
      <c r="B95" t="s">
        <v>221</v>
      </c>
      <c r="C95" t="s">
        <v>22</v>
      </c>
      <c r="D95" t="s">
        <v>64</v>
      </c>
      <c r="E95" s="1">
        <v>45273</v>
      </c>
      <c r="F95">
        <v>6</v>
      </c>
      <c r="G95">
        <v>6549</v>
      </c>
      <c r="H95" t="s">
        <v>24</v>
      </c>
      <c r="I95" t="s">
        <v>52</v>
      </c>
      <c r="J95">
        <v>39294</v>
      </c>
    </row>
    <row r="96" spans="1:10" x14ac:dyDescent="0.2">
      <c r="A96" t="s">
        <v>222</v>
      </c>
      <c r="B96" t="s">
        <v>223</v>
      </c>
      <c r="C96" t="s">
        <v>30</v>
      </c>
      <c r="D96" t="s">
        <v>13</v>
      </c>
      <c r="E96" s="1">
        <v>45322</v>
      </c>
      <c r="F96">
        <v>4</v>
      </c>
      <c r="G96">
        <v>6649</v>
      </c>
      <c r="H96" t="s">
        <v>34</v>
      </c>
      <c r="I96" t="s">
        <v>61</v>
      </c>
      <c r="J96">
        <v>26596</v>
      </c>
    </row>
    <row r="97" spans="1:10" x14ac:dyDescent="0.2">
      <c r="A97" t="s">
        <v>224</v>
      </c>
      <c r="B97" t="s">
        <v>225</v>
      </c>
      <c r="C97" t="s">
        <v>38</v>
      </c>
      <c r="D97" t="s">
        <v>23</v>
      </c>
      <c r="E97" s="1">
        <v>45349</v>
      </c>
      <c r="F97">
        <v>1</v>
      </c>
      <c r="G97">
        <v>6749</v>
      </c>
      <c r="H97" t="s">
        <v>45</v>
      </c>
      <c r="I97" t="s">
        <v>67</v>
      </c>
      <c r="J97">
        <v>6749</v>
      </c>
    </row>
    <row r="98" spans="1:10" x14ac:dyDescent="0.2">
      <c r="A98" t="s">
        <v>226</v>
      </c>
      <c r="B98" t="s">
        <v>227</v>
      </c>
      <c r="C98" t="s">
        <v>55</v>
      </c>
      <c r="D98" t="s">
        <v>33</v>
      </c>
      <c r="E98" s="1">
        <v>45376</v>
      </c>
      <c r="F98">
        <v>2</v>
      </c>
      <c r="G98">
        <v>6849</v>
      </c>
      <c r="H98" t="s">
        <v>14</v>
      </c>
      <c r="I98" t="s">
        <v>15</v>
      </c>
      <c r="J98">
        <v>13698</v>
      </c>
    </row>
    <row r="99" spans="1:10" x14ac:dyDescent="0.2">
      <c r="A99" t="s">
        <v>228</v>
      </c>
      <c r="B99" t="s">
        <v>229</v>
      </c>
      <c r="C99" t="s">
        <v>43</v>
      </c>
      <c r="D99" t="s">
        <v>44</v>
      </c>
      <c r="E99" s="1">
        <v>45411</v>
      </c>
      <c r="F99">
        <v>3</v>
      </c>
      <c r="G99">
        <v>6949</v>
      </c>
      <c r="H99" t="s">
        <v>24</v>
      </c>
      <c r="I99" t="s">
        <v>25</v>
      </c>
      <c r="J99">
        <v>20847</v>
      </c>
    </row>
    <row r="100" spans="1:10" x14ac:dyDescent="0.2">
      <c r="A100" t="s">
        <v>230</v>
      </c>
      <c r="B100" t="s">
        <v>231</v>
      </c>
      <c r="C100" t="s">
        <v>12</v>
      </c>
      <c r="D100" t="s">
        <v>51</v>
      </c>
      <c r="E100" s="1">
        <v>45443</v>
      </c>
      <c r="F100">
        <v>5</v>
      </c>
      <c r="G100">
        <v>7049</v>
      </c>
      <c r="H100" t="s">
        <v>34</v>
      </c>
      <c r="I100" t="s">
        <v>35</v>
      </c>
      <c r="J100">
        <v>35245</v>
      </c>
    </row>
    <row r="101" spans="1:10" x14ac:dyDescent="0.2">
      <c r="A101" t="s">
        <v>232</v>
      </c>
      <c r="B101" t="s">
        <v>233</v>
      </c>
      <c r="C101" t="s">
        <v>55</v>
      </c>
      <c r="D101" t="s">
        <v>58</v>
      </c>
      <c r="E101" s="1">
        <v>45467</v>
      </c>
      <c r="F101">
        <v>4</v>
      </c>
      <c r="G101">
        <v>7149</v>
      </c>
      <c r="H101" t="s">
        <v>45</v>
      </c>
      <c r="I101" t="s">
        <v>46</v>
      </c>
      <c r="J101">
        <v>28596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Country</vt:lpstr>
      <vt:lpstr>Revenue by Product Category</vt:lpstr>
      <vt:lpstr>Payment Status</vt:lpstr>
      <vt:lpstr>Delivery Status</vt:lpstr>
      <vt:lpstr>Monthly Revenue</vt:lpstr>
      <vt:lpstr>Total Revenue</vt:lpstr>
      <vt:lpstr>Dashboard</vt:lpstr>
      <vt:lpstr>cleaned_orders_data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Nguyen</cp:lastModifiedBy>
  <dcterms:created xsi:type="dcterms:W3CDTF">2026-05-04T15:24:06Z</dcterms:created>
  <dcterms:modified xsi:type="dcterms:W3CDTF">2026-05-04T15:24:06Z</dcterms:modified>
</cp:coreProperties>
</file>